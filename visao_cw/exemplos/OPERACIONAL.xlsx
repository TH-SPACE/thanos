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thiago_anunes_telefonica_com/Documents/1_RELATÓRIOS/1 OPERACIONAL_CW/"/>
    </mc:Choice>
  </mc:AlternateContent>
  <xr:revisionPtr revIDLastSave="1002" documentId="8_{78746F68-6195-4EC1-B89A-79C879C0BF91}" xr6:coauthVersionLast="47" xr6:coauthVersionMax="47" xr10:uidLastSave="{2C2EA625-6574-49A5-A716-345A393DAD08}"/>
  <bookViews>
    <workbookView xWindow="-120" yWindow="-120" windowWidth="29040" windowHeight="15720" xr2:uid="{EC87E6AD-5DCF-4558-B87C-05F933410172}"/>
  </bookViews>
  <sheets>
    <sheet name="DASH" sheetId="3" r:id="rId1"/>
    <sheet name="BA_BD_B2C" sheetId="1" r:id="rId2"/>
    <sheet name="ARD e TA" sheetId="2" r:id="rId3"/>
    <sheet name="BA_BD_B2B" sheetId="7" r:id="rId4"/>
    <sheet name="DU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N11" i="2"/>
  <c r="N10" i="2"/>
  <c r="N9" i="2"/>
  <c r="N8" i="2"/>
  <c r="N7" i="2"/>
  <c r="N6" i="2"/>
  <c r="J12" i="2"/>
  <c r="J11" i="2"/>
  <c r="J10" i="2"/>
  <c r="J9" i="2"/>
  <c r="J8" i="2"/>
  <c r="J7" i="2"/>
  <c r="J6" i="2"/>
  <c r="F6" i="2"/>
  <c r="K14" i="3"/>
  <c r="K13" i="3"/>
  <c r="K12" i="3"/>
  <c r="K11" i="3"/>
  <c r="K10" i="3"/>
  <c r="K9" i="3"/>
  <c r="K8" i="3"/>
  <c r="J37" i="7"/>
  <c r="J36" i="7"/>
  <c r="J35" i="7"/>
  <c r="J34" i="7"/>
  <c r="J33" i="7"/>
  <c r="J32" i="7"/>
  <c r="J31" i="7"/>
  <c r="J38" i="7" s="1"/>
  <c r="G37" i="7"/>
  <c r="G38" i="7" s="1"/>
  <c r="G36" i="7"/>
  <c r="G35" i="7"/>
  <c r="G34" i="7"/>
  <c r="G33" i="7"/>
  <c r="G32" i="7"/>
  <c r="G31" i="7"/>
  <c r="K38" i="7"/>
  <c r="I38" i="7"/>
  <c r="K37" i="7" s="1"/>
  <c r="K36" i="7"/>
  <c r="K35" i="7"/>
  <c r="K34" i="7"/>
  <c r="K33" i="7"/>
  <c r="K32" i="7"/>
  <c r="K31" i="7"/>
  <c r="F38" i="7"/>
  <c r="H37" i="7" s="1"/>
  <c r="I29" i="7"/>
  <c r="F29" i="7"/>
  <c r="C29" i="7"/>
  <c r="H32" i="7" l="1"/>
  <c r="H38" i="7"/>
  <c r="H31" i="7"/>
  <c r="H33" i="7"/>
  <c r="H34" i="7"/>
  <c r="H35" i="7"/>
  <c r="H36" i="7"/>
  <c r="D25" i="7" l="1"/>
  <c r="E12" i="7"/>
  <c r="C38" i="7" l="1"/>
  <c r="D37" i="7"/>
  <c r="D36" i="7"/>
  <c r="D35" i="7"/>
  <c r="D34" i="7"/>
  <c r="D33" i="7"/>
  <c r="D32" i="7"/>
  <c r="D31" i="7"/>
  <c r="I25" i="7"/>
  <c r="K21" i="7" s="1"/>
  <c r="F25" i="7"/>
  <c r="H19" i="7" s="1"/>
  <c r="C25" i="7"/>
  <c r="E22" i="7" s="1"/>
  <c r="K24" i="7"/>
  <c r="J24" i="7"/>
  <c r="G24" i="7"/>
  <c r="J23" i="7"/>
  <c r="G23" i="7"/>
  <c r="J22" i="7"/>
  <c r="G22" i="7"/>
  <c r="D22" i="7"/>
  <c r="J21" i="7"/>
  <c r="G21" i="7"/>
  <c r="D21" i="7"/>
  <c r="J20" i="7"/>
  <c r="G20" i="7"/>
  <c r="D20" i="7"/>
  <c r="J19" i="7"/>
  <c r="G19" i="7"/>
  <c r="D19" i="7"/>
  <c r="K18" i="7"/>
  <c r="J18" i="7"/>
  <c r="G18" i="7"/>
  <c r="D18" i="7"/>
  <c r="I16" i="7"/>
  <c r="F16" i="7"/>
  <c r="C16" i="7"/>
  <c r="K12" i="7"/>
  <c r="M11" i="7" s="1"/>
  <c r="H12" i="7"/>
  <c r="J12" i="7" s="1"/>
  <c r="G8" i="7"/>
  <c r="C12" i="7"/>
  <c r="D5" i="7" s="1"/>
  <c r="L11" i="7"/>
  <c r="I11" i="7"/>
  <c r="F11" i="7"/>
  <c r="L10" i="7"/>
  <c r="I10" i="7"/>
  <c r="F10" i="7"/>
  <c r="L9" i="7"/>
  <c r="I9" i="7"/>
  <c r="G9" i="7"/>
  <c r="F9" i="7"/>
  <c r="L8" i="7"/>
  <c r="I8" i="7"/>
  <c r="F8" i="7"/>
  <c r="L7" i="7"/>
  <c r="I7" i="7"/>
  <c r="G7" i="7"/>
  <c r="F7" i="7"/>
  <c r="L6" i="7"/>
  <c r="I6" i="7"/>
  <c r="G6" i="7"/>
  <c r="F6" i="7"/>
  <c r="L5" i="7"/>
  <c r="I5" i="7"/>
  <c r="G5" i="7"/>
  <c r="F5" i="7"/>
  <c r="K3" i="7"/>
  <c r="H3" i="7"/>
  <c r="E3" i="7"/>
  <c r="P13" i="2"/>
  <c r="Q11" i="2" s="1"/>
  <c r="Q13" i="2" l="1"/>
  <c r="Q6" i="2"/>
  <c r="E37" i="7"/>
  <c r="E36" i="7"/>
  <c r="E31" i="7"/>
  <c r="E38" i="7"/>
  <c r="E34" i="7"/>
  <c r="E32" i="7"/>
  <c r="E33" i="7"/>
  <c r="E35" i="7"/>
  <c r="D38" i="7"/>
  <c r="K19" i="7"/>
  <c r="J25" i="7"/>
  <c r="K20" i="7"/>
  <c r="K23" i="7"/>
  <c r="K22" i="7"/>
  <c r="K25" i="7"/>
  <c r="H18" i="7"/>
  <c r="H23" i="7"/>
  <c r="G25" i="7"/>
  <c r="H21" i="7"/>
  <c r="H25" i="7"/>
  <c r="H20" i="7"/>
  <c r="H22" i="7"/>
  <c r="H24" i="7"/>
  <c r="L12" i="7"/>
  <c r="I12" i="7"/>
  <c r="J8" i="7"/>
  <c r="J11" i="7"/>
  <c r="F12" i="7"/>
  <c r="J7" i="7"/>
  <c r="M9" i="7"/>
  <c r="E21" i="7"/>
  <c r="J6" i="7"/>
  <c r="M8" i="7"/>
  <c r="D10" i="7"/>
  <c r="M12" i="7"/>
  <c r="E25" i="7"/>
  <c r="D11" i="7"/>
  <c r="D12" i="7"/>
  <c r="J5" i="7"/>
  <c r="M7" i="7"/>
  <c r="D9" i="7"/>
  <c r="G11" i="7"/>
  <c r="E20" i="7"/>
  <c r="E24" i="7"/>
  <c r="M6" i="7"/>
  <c r="D8" i="7"/>
  <c r="G10" i="7"/>
  <c r="G12" i="7"/>
  <c r="M10" i="7"/>
  <c r="M5" i="7"/>
  <c r="D7" i="7"/>
  <c r="E19" i="7"/>
  <c r="E23" i="7"/>
  <c r="D6" i="7"/>
  <c r="J10" i="7"/>
  <c r="J9" i="7"/>
  <c r="E18" i="7"/>
  <c r="Q12" i="2"/>
  <c r="Q10" i="2"/>
  <c r="Q9" i="2"/>
  <c r="Q8" i="2"/>
  <c r="Q7" i="2"/>
  <c r="K4" i="2" l="1"/>
  <c r="G4" i="2"/>
  <c r="M13" i="2"/>
  <c r="K13" i="2"/>
  <c r="L13" i="2"/>
  <c r="I13" i="2"/>
  <c r="G13" i="2"/>
  <c r="H13" i="2"/>
  <c r="E13" i="2"/>
  <c r="F12" i="2" s="1"/>
  <c r="D7" i="2"/>
  <c r="D8" i="2"/>
  <c r="D9" i="2"/>
  <c r="D10" i="2"/>
  <c r="D11" i="2"/>
  <c r="D12" i="2"/>
  <c r="D6" i="2"/>
  <c r="C13" i="2"/>
  <c r="P37" i="1"/>
  <c r="O37" i="1"/>
  <c r="P36" i="1"/>
  <c r="O36" i="1"/>
  <c r="P35" i="1"/>
  <c r="O35" i="1"/>
  <c r="O38" i="1" s="1"/>
  <c r="P34" i="1"/>
  <c r="O34" i="1"/>
  <c r="P33" i="1"/>
  <c r="O33" i="1"/>
  <c r="P32" i="1"/>
  <c r="O32" i="1"/>
  <c r="P31" i="1"/>
  <c r="O31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J38" i="1" s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C4" i="2"/>
  <c r="K38" i="1"/>
  <c r="N38" i="1"/>
  <c r="Q37" i="1" s="1"/>
  <c r="I38" i="1"/>
  <c r="L38" i="1" s="1"/>
  <c r="G38" i="1"/>
  <c r="L35" i="1"/>
  <c r="L33" i="1"/>
  <c r="L32" i="1"/>
  <c r="G32" i="1"/>
  <c r="G33" i="1"/>
  <c r="G34" i="1"/>
  <c r="G35" i="1"/>
  <c r="G36" i="1"/>
  <c r="G37" i="1"/>
  <c r="G31" i="1"/>
  <c r="J5" i="1"/>
  <c r="J12" i="1"/>
  <c r="G12" i="1"/>
  <c r="M12" i="1"/>
  <c r="M6" i="1"/>
  <c r="M7" i="1"/>
  <c r="M8" i="1"/>
  <c r="M9" i="1"/>
  <c r="M10" i="1"/>
  <c r="M11" i="1"/>
  <c r="M5" i="1"/>
  <c r="K25" i="1"/>
  <c r="K19" i="1"/>
  <c r="K20" i="1"/>
  <c r="K21" i="1"/>
  <c r="K22" i="1"/>
  <c r="K23" i="1"/>
  <c r="K24" i="1"/>
  <c r="K18" i="1"/>
  <c r="H25" i="1"/>
  <c r="H19" i="1"/>
  <c r="H20" i="1"/>
  <c r="H21" i="1"/>
  <c r="H22" i="1"/>
  <c r="H23" i="1"/>
  <c r="H24" i="1"/>
  <c r="H18" i="1"/>
  <c r="E25" i="1"/>
  <c r="E19" i="1"/>
  <c r="E20" i="1"/>
  <c r="E21" i="1"/>
  <c r="E22" i="1"/>
  <c r="E23" i="1"/>
  <c r="E24" i="1"/>
  <c r="E18" i="1"/>
  <c r="F38" i="1"/>
  <c r="D38" i="1"/>
  <c r="E38" i="1"/>
  <c r="H38" i="1"/>
  <c r="M38" i="1"/>
  <c r="C38" i="1"/>
  <c r="M29" i="1"/>
  <c r="H29" i="1"/>
  <c r="C29" i="1"/>
  <c r="F11" i="1"/>
  <c r="F10" i="1"/>
  <c r="F9" i="1"/>
  <c r="F8" i="1"/>
  <c r="F7" i="1"/>
  <c r="F6" i="1"/>
  <c r="F5" i="1"/>
  <c r="F12" i="1" s="1"/>
  <c r="D19" i="1"/>
  <c r="D20" i="1"/>
  <c r="D21" i="1"/>
  <c r="D22" i="1"/>
  <c r="D23" i="1"/>
  <c r="D24" i="1"/>
  <c r="D18" i="1"/>
  <c r="L11" i="1"/>
  <c r="L10" i="1"/>
  <c r="L9" i="1"/>
  <c r="L8" i="1"/>
  <c r="L7" i="1"/>
  <c r="L6" i="1"/>
  <c r="L5" i="1"/>
  <c r="L12" i="1" s="1"/>
  <c r="I11" i="1"/>
  <c r="I10" i="1"/>
  <c r="I9" i="1"/>
  <c r="I8" i="1"/>
  <c r="I7" i="1"/>
  <c r="I6" i="1"/>
  <c r="I5" i="1"/>
  <c r="G19" i="1"/>
  <c r="G20" i="1"/>
  <c r="G21" i="1"/>
  <c r="G22" i="1"/>
  <c r="G23" i="1"/>
  <c r="G24" i="1"/>
  <c r="G18" i="1"/>
  <c r="J19" i="1"/>
  <c r="J20" i="1"/>
  <c r="J21" i="1"/>
  <c r="J22" i="1"/>
  <c r="J23" i="1"/>
  <c r="J24" i="1"/>
  <c r="J18" i="1"/>
  <c r="F25" i="1"/>
  <c r="I25" i="1"/>
  <c r="I16" i="1"/>
  <c r="F16" i="1"/>
  <c r="C16" i="1"/>
  <c r="C25" i="1"/>
  <c r="E12" i="1"/>
  <c r="E3" i="1"/>
  <c r="H3" i="1"/>
  <c r="K3" i="1"/>
  <c r="K12" i="1"/>
  <c r="F11" i="2" l="1"/>
  <c r="F10" i="2"/>
  <c r="F9" i="2"/>
  <c r="F8" i="2"/>
  <c r="F7" i="2"/>
  <c r="D13" i="2"/>
  <c r="Q31" i="1"/>
  <c r="Q32" i="1"/>
  <c r="Q38" i="1"/>
  <c r="P38" i="1"/>
  <c r="Q34" i="1"/>
  <c r="Q35" i="1"/>
  <c r="Q33" i="1"/>
  <c r="Q36" i="1"/>
  <c r="L34" i="1"/>
  <c r="L36" i="1"/>
  <c r="L37" i="1"/>
  <c r="L31" i="1"/>
  <c r="J25" i="1"/>
  <c r="I12" i="1"/>
  <c r="G5" i="1"/>
  <c r="G11" i="1"/>
  <c r="G9" i="1"/>
  <c r="D25" i="1"/>
  <c r="G10" i="1"/>
  <c r="G25" i="1"/>
  <c r="G8" i="1"/>
  <c r="G7" i="1"/>
  <c r="G6" i="1"/>
  <c r="H12" i="1" l="1"/>
  <c r="C12" i="1"/>
  <c r="D12" i="1" s="1"/>
  <c r="J11" i="1" l="1"/>
  <c r="J6" i="1"/>
  <c r="J10" i="1"/>
  <c r="J7" i="1"/>
  <c r="J8" i="1"/>
  <c r="J9" i="1"/>
  <c r="D11" i="1"/>
  <c r="D5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<sst xmlns="http://schemas.openxmlformats.org/spreadsheetml/2006/main" count="180" uniqueCount="43">
  <si>
    <t>Cluster</t>
  </si>
  <si>
    <t>B2C</t>
  </si>
  <si>
    <t>B2B</t>
  </si>
  <si>
    <t>ANAPOLIS</t>
  </si>
  <si>
    <t>BRASILIA</t>
  </si>
  <si>
    <t>CAMPO GRANDE</t>
  </si>
  <si>
    <t>CUIABA</t>
  </si>
  <si>
    <t>GOIANIA</t>
  </si>
  <si>
    <t>JI PARANA</t>
  </si>
  <si>
    <t>PALMAS</t>
  </si>
  <si>
    <t>Produção de Altas</t>
  </si>
  <si>
    <t>LIS</t>
  </si>
  <si>
    <t>CW</t>
  </si>
  <si>
    <t>DEZ</t>
  </si>
  <si>
    <t>ALTAS</t>
  </si>
  <si>
    <t>JAN</t>
  </si>
  <si>
    <t>SHARE TOTAL</t>
  </si>
  <si>
    <t>S/DOM</t>
  </si>
  <si>
    <t>C/DOM</t>
  </si>
  <si>
    <t>ME + Serviços</t>
  </si>
  <si>
    <t>QTD</t>
  </si>
  <si>
    <t>BD CAMPO</t>
  </si>
  <si>
    <t>BD TOTAL</t>
  </si>
  <si>
    <t>MEDIA DU CAMPO</t>
  </si>
  <si>
    <t>MEDIA DU TOTAL</t>
  </si>
  <si>
    <t>Produção de BDs</t>
  </si>
  <si>
    <t>TOTAL</t>
  </si>
  <si>
    <t>TAs</t>
  </si>
  <si>
    <t>MÉDIA DU</t>
  </si>
  <si>
    <t>NOV</t>
  </si>
  <si>
    <t>SHARE</t>
  </si>
  <si>
    <t>AFETAÇÃO</t>
  </si>
  <si>
    <t>ARDs</t>
  </si>
  <si>
    <t>TAs CW</t>
  </si>
  <si>
    <t>ME + Serviços - B2B</t>
  </si>
  <si>
    <t>Produção de Altas - B2B</t>
  </si>
  <si>
    <t>Produção de BDs - B2B</t>
  </si>
  <si>
    <t>BDs</t>
  </si>
  <si>
    <t>SHARE ARD</t>
  </si>
  <si>
    <t>Share TAs</t>
  </si>
  <si>
    <t>Share Ards</t>
  </si>
  <si>
    <t>Share Lis B2C</t>
  </si>
  <si>
    <t>Share Lis 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</si>
</sst>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20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indent="1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indent="1"/>
    </xf>
    <xf numFmtId="1" fontId="0" fillId="4" borderId="2" xfId="0" applyNumberFormat="1" applyFill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indent="1"/>
    </xf>
    <xf numFmtId="0" fontId="3" fillId="4" borderId="1" xfId="0" applyFont="1" applyFill="1" applyBorder="1" applyAlignment="1">
      <alignment horizontal="left" inden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indent="1"/>
    </xf>
    <xf numFmtId="164" fontId="7" fillId="0" borderId="10" xfId="1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3" fillId="4" borderId="10" xfId="0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" fontId="2" fillId="3" borderId="4" xfId="0" applyNumberFormat="1" applyFont="1" applyFill="1" applyBorder="1" applyAlignment="1">
      <alignment horizontal="center" vertical="center"/>
    </xf>
    <xf numFmtId="17" fontId="2" fillId="3" borderId="5" xfId="0" applyNumberFormat="1" applyFont="1" applyFill="1" applyBorder="1" applyAlignment="1">
      <alignment horizontal="center" vertical="center"/>
    </xf>
    <xf numFmtId="17" fontId="2" fillId="3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7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7" fontId="2" fillId="7" borderId="4" xfId="0" applyNumberFormat="1" applyFont="1" applyFill="1" applyBorder="1" applyAlignment="1">
      <alignment horizontal="center" vertical="center"/>
    </xf>
    <xf numFmtId="17" fontId="2" fillId="7" borderId="5" xfId="0" applyNumberFormat="1" applyFont="1" applyFill="1" applyBorder="1" applyAlignment="1">
      <alignment horizontal="center" vertical="center"/>
    </xf>
    <xf numFmtId="17" fontId="2" fillId="7" borderId="6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164" fontId="2" fillId="7" borderId="2" xfId="1" applyNumberFormat="1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7" fontId="2" fillId="3" borderId="12" xfId="0" applyNumberFormat="1" applyFont="1" applyFill="1" applyBorder="1" applyAlignment="1">
      <alignment horizontal="center" vertical="center" wrapText="1"/>
    </xf>
    <xf numFmtId="17" fontId="2" fillId="3" borderId="1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8" fillId="5" borderId="14" xfId="0" applyFont="1" applyFill="1" applyBorder="1" applyAlignment="1">
      <alignment horizontal="center" vertical="center"/>
    </xf>
    <xf numFmtId="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A266-CB76-453F-B180-626F7EE8079D}">
  <dimension ref="B1:L28"/>
  <sheetViews>
    <sheetView showGridLines="0" tabSelected="1" workbookViewId="0">
      <selection activeCell="H18" sqref="H18"/>
    </sheetView>
  </sheetViews>
  <sheetFormatPr defaultRowHeight="15" x14ac:dyDescent="0.25"/>
  <cols>
    <col min="2" max="2" width="18.85546875" bestFit="1" customWidth="1"/>
    <col min="3" max="3" width="19.7109375" style="2" bestFit="1" customWidth="1"/>
    <col min="4" max="4" width="15.42578125" style="2" bestFit="1" customWidth="1"/>
    <col min="5" max="5" width="18.5703125" style="2" bestFit="1" customWidth="1"/>
    <col min="6" max="6" width="19.7109375" style="2" bestFit="1" customWidth="1"/>
    <col min="7" max="7" width="15.42578125" bestFit="1" customWidth="1"/>
    <col min="8" max="8" width="18.5703125" bestFit="1" customWidth="1"/>
    <col min="9" max="9" width="12" bestFit="1" customWidth="1"/>
    <col min="10" max="10" width="12.140625" bestFit="1" customWidth="1"/>
    <col min="11" max="11" width="14.85546875" bestFit="1" customWidth="1"/>
    <col min="12" max="12" width="15" bestFit="1" customWidth="1"/>
  </cols>
  <sheetData>
    <row r="1" spans="2:12" x14ac:dyDescent="0.25">
      <c r="C1" s="34"/>
      <c r="D1" s="34"/>
      <c r="E1" s="34"/>
      <c r="F1" s="34"/>
      <c r="G1" s="1"/>
      <c r="H1" s="1"/>
    </row>
    <row r="5" spans="2:12" ht="15.75" thickBot="1" x14ac:dyDescent="0.3"/>
    <row r="6" spans="2:12" ht="24.75" thickBot="1" x14ac:dyDescent="0.3">
      <c r="B6" s="36" t="s">
        <v>0</v>
      </c>
      <c r="C6" s="35" t="s">
        <v>1</v>
      </c>
      <c r="D6" s="35"/>
      <c r="E6" s="35"/>
      <c r="F6" s="35" t="s">
        <v>2</v>
      </c>
      <c r="G6" s="35"/>
      <c r="H6" s="35"/>
    </row>
    <row r="7" spans="2:12" ht="17.25" thickBot="1" x14ac:dyDescent="0.3">
      <c r="B7" s="36"/>
      <c r="C7" s="29" t="s">
        <v>10</v>
      </c>
      <c r="D7" s="29" t="s">
        <v>19</v>
      </c>
      <c r="E7" s="29" t="s">
        <v>25</v>
      </c>
      <c r="F7" s="29" t="s">
        <v>10</v>
      </c>
      <c r="G7" s="29" t="s">
        <v>19</v>
      </c>
      <c r="H7" s="29" t="s">
        <v>25</v>
      </c>
      <c r="I7" s="76" t="s">
        <v>39</v>
      </c>
      <c r="J7" s="76" t="s">
        <v>40</v>
      </c>
      <c r="K7" s="76" t="s">
        <v>41</v>
      </c>
      <c r="L7" s="76" t="s">
        <v>42</v>
      </c>
    </row>
    <row r="8" spans="2:12" ht="17.25" thickBot="1" x14ac:dyDescent="0.3">
      <c r="B8" s="30" t="s">
        <v>3</v>
      </c>
      <c r="C8" s="31">
        <v>6.204483827254182E-4</v>
      </c>
      <c r="D8" s="31">
        <v>6.6402287189892099E-3</v>
      </c>
      <c r="E8" s="32">
        <v>1.0393801687213013E-2</v>
      </c>
      <c r="F8" s="32">
        <v>6.204483827254182E-4</v>
      </c>
      <c r="G8" s="32">
        <v>6.6402287189892099E-3</v>
      </c>
      <c r="H8" s="32">
        <v>1.7013232514177693E-2</v>
      </c>
      <c r="I8" s="32">
        <v>1.7013232514177693E-2</v>
      </c>
      <c r="J8" s="32">
        <v>2.3486901535682024E-2</v>
      </c>
      <c r="K8" s="32">
        <f>J8/$C$12</f>
        <v>0.1338785380174824</v>
      </c>
      <c r="L8" s="32">
        <v>1.5438171636143484E-2</v>
      </c>
    </row>
    <row r="9" spans="2:12" ht="17.25" thickBot="1" x14ac:dyDescent="0.3">
      <c r="B9" s="33" t="s">
        <v>4</v>
      </c>
      <c r="C9" s="31">
        <v>0.65790949192166481</v>
      </c>
      <c r="D9" s="31">
        <v>0.4374250668634142</v>
      </c>
      <c r="E9" s="32">
        <v>0.33915117286221091</v>
      </c>
      <c r="F9" s="32">
        <v>0.65790949192166481</v>
      </c>
      <c r="G9" s="32">
        <v>0.4374250668634142</v>
      </c>
      <c r="H9" s="32">
        <v>0.20541902961562697</v>
      </c>
      <c r="I9" s="32">
        <v>0.20541902961562697</v>
      </c>
      <c r="J9" s="32">
        <v>0.43541102077687444</v>
      </c>
      <c r="K9" s="32">
        <f t="shared" ref="K9:K14" si="0">J9/$C$12</f>
        <v>2.4819021278625586</v>
      </c>
      <c r="L9" s="32">
        <v>0.29279551990313302</v>
      </c>
    </row>
    <row r="10" spans="2:12" ht="17.25" thickBot="1" x14ac:dyDescent="0.3">
      <c r="B10" s="30" t="s">
        <v>5</v>
      </c>
      <c r="C10" s="31">
        <v>8.4264208460366266E-2</v>
      </c>
      <c r="D10" s="31">
        <v>0.15613760029512128</v>
      </c>
      <c r="E10" s="32">
        <v>0.13158363094884967</v>
      </c>
      <c r="F10" s="32">
        <v>8.4264208460366266E-2</v>
      </c>
      <c r="G10" s="32">
        <v>0.15613760029512128</v>
      </c>
      <c r="H10" s="32">
        <v>0.1596303297626549</v>
      </c>
      <c r="I10" s="32">
        <v>0.1596303297626549</v>
      </c>
      <c r="J10" s="32">
        <v>0.14182475158084915</v>
      </c>
      <c r="K10" s="32">
        <f t="shared" si="0"/>
        <v>0.80842040264402837</v>
      </c>
      <c r="L10" s="32">
        <v>0.16126835174814591</v>
      </c>
    </row>
    <row r="11" spans="2:12" ht="17.25" thickBot="1" x14ac:dyDescent="0.3">
      <c r="B11" s="33" t="s">
        <v>6</v>
      </c>
      <c r="C11" s="31">
        <v>8.0687785256700909E-2</v>
      </c>
      <c r="D11" s="31">
        <v>0.15899658766024163</v>
      </c>
      <c r="E11" s="32">
        <v>0.21163726106714442</v>
      </c>
      <c r="F11" s="32">
        <v>8.0687785256700909E-2</v>
      </c>
      <c r="G11" s="32">
        <v>0.15899658766024163</v>
      </c>
      <c r="H11" s="32">
        <v>0.25866414618777567</v>
      </c>
      <c r="I11" s="32">
        <v>0.25866414618777567</v>
      </c>
      <c r="J11" s="32">
        <v>0.1002710027100271</v>
      </c>
      <c r="K11" s="32">
        <f t="shared" si="0"/>
        <v>0.57155837384386721</v>
      </c>
      <c r="L11" s="32">
        <v>0.21015589526260028</v>
      </c>
    </row>
    <row r="12" spans="2:12" ht="17.25" thickBot="1" x14ac:dyDescent="0.3">
      <c r="B12" s="30" t="s">
        <v>7</v>
      </c>
      <c r="C12" s="31">
        <v>0.17543440407614108</v>
      </c>
      <c r="D12" s="31">
        <v>0.22300101447938761</v>
      </c>
      <c r="E12" s="32">
        <v>0.2887602187918985</v>
      </c>
      <c r="F12" s="32">
        <v>0.17543440407614108</v>
      </c>
      <c r="G12" s="32">
        <v>0.22300101447938761</v>
      </c>
      <c r="H12" s="32">
        <v>0.34446544843520271</v>
      </c>
      <c r="I12" s="32">
        <v>0.34446544843520271</v>
      </c>
      <c r="J12" s="32">
        <v>0.2908762420957543</v>
      </c>
      <c r="K12" s="32">
        <f t="shared" si="0"/>
        <v>1.6580342016011282</v>
      </c>
      <c r="L12" s="32">
        <v>0.27690328439533829</v>
      </c>
    </row>
    <row r="13" spans="2:12" ht="17.25" thickBot="1" x14ac:dyDescent="0.3">
      <c r="B13" s="33" t="s">
        <v>8</v>
      </c>
      <c r="C13" s="31">
        <v>1.0750574407999363E-5</v>
      </c>
      <c r="D13" s="31">
        <v>2.3056349718712532E-3</v>
      </c>
      <c r="E13" s="32">
        <v>9.1361042227785627E-4</v>
      </c>
      <c r="F13" s="32">
        <v>1.0750574407999363E-5</v>
      </c>
      <c r="G13" s="32">
        <v>2.3056349718712532E-3</v>
      </c>
      <c r="H13" s="32">
        <v>1.4492753623188406E-2</v>
      </c>
      <c r="I13" s="32">
        <v>1.4492753623188406E-2</v>
      </c>
      <c r="J13" s="32">
        <v>9.0334236675700087E-4</v>
      </c>
      <c r="K13" s="32">
        <f t="shared" si="0"/>
        <v>5.1491745391339383E-3</v>
      </c>
      <c r="L13" s="32">
        <v>1.5211139700317844E-2</v>
      </c>
    </row>
    <row r="14" spans="2:12" ht="17.25" thickBot="1" x14ac:dyDescent="0.3">
      <c r="B14" s="30" t="s">
        <v>9</v>
      </c>
      <c r="C14" s="31">
        <v>1.0729113279934999E-3</v>
      </c>
      <c r="D14" s="31">
        <v>1.5493867010974823E-2</v>
      </c>
      <c r="E14" s="32">
        <v>1.7560304220405547E-2</v>
      </c>
      <c r="F14" s="32">
        <v>1.0729113279934999E-3</v>
      </c>
      <c r="G14" s="32">
        <v>1.5493867010974823E-2</v>
      </c>
      <c r="H14" s="32">
        <v>3.15059861373661E-4</v>
      </c>
      <c r="I14" s="32">
        <v>3.15059861373661E-4</v>
      </c>
      <c r="J14" s="32">
        <v>7.2267389340560069E-3</v>
      </c>
      <c r="K14" s="32">
        <f t="shared" si="0"/>
        <v>4.1193396313071506E-2</v>
      </c>
      <c r="L14" s="32">
        <v>2.8227637354321173E-2</v>
      </c>
    </row>
    <row r="15" spans="2:12" x14ac:dyDescent="0.25">
      <c r="C15"/>
      <c r="D15"/>
      <c r="E15"/>
    </row>
    <row r="28" spans="9:9" x14ac:dyDescent="0.25">
      <c r="I28" s="77"/>
    </row>
  </sheetData>
  <mergeCells count="5">
    <mergeCell ref="C1:D1"/>
    <mergeCell ref="E1:F1"/>
    <mergeCell ref="C6:E6"/>
    <mergeCell ref="B6:B7"/>
    <mergeCell ref="F6:H6"/>
  </mergeCells>
  <conditionalFormatting sqref="C8:H14">
    <cfRule type="colorScale" priority="6">
      <colorScale>
        <cfvo type="min"/>
        <cfvo type="max"/>
        <color theme="0"/>
        <color theme="8" tint="0.79998168889431442"/>
      </colorScale>
    </cfRule>
  </conditionalFormatting>
  <conditionalFormatting sqref="I8:I14">
    <cfRule type="colorScale" priority="5">
      <colorScale>
        <cfvo type="min"/>
        <cfvo type="max"/>
        <color theme="0"/>
        <color theme="8" tint="0.79998168889431442"/>
      </colorScale>
    </cfRule>
  </conditionalFormatting>
  <conditionalFormatting sqref="J8:J14">
    <cfRule type="colorScale" priority="4">
      <colorScale>
        <cfvo type="min"/>
        <cfvo type="max"/>
        <color theme="0"/>
        <color theme="8" tint="0.79998168889431442"/>
      </colorScale>
    </cfRule>
  </conditionalFormatting>
  <conditionalFormatting sqref="K8:K14">
    <cfRule type="colorScale" priority="2">
      <colorScale>
        <cfvo type="min"/>
        <cfvo type="max"/>
        <color theme="0"/>
        <color theme="8" tint="0.79998168889431442"/>
      </colorScale>
    </cfRule>
  </conditionalFormatting>
  <conditionalFormatting sqref="L8:L14">
    <cfRule type="colorScale" priority="1">
      <colorScale>
        <cfvo type="min"/>
        <cfvo type="max"/>
        <color theme="0"/>
        <color theme="8" tint="0.79998168889431442"/>
      </colorScale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CE70-00A2-4586-9978-AE276E435AA3}">
  <dimension ref="A1:R38"/>
  <sheetViews>
    <sheetView showGridLines="0" zoomScale="80" zoomScaleNormal="80" workbookViewId="0">
      <selection activeCell="B44" sqref="B44"/>
    </sheetView>
  </sheetViews>
  <sheetFormatPr defaultRowHeight="15" x14ac:dyDescent="0.25"/>
  <cols>
    <col min="1" max="1" width="10.42578125" bestFit="1" customWidth="1"/>
    <col min="2" max="2" width="17.5703125" bestFit="1" customWidth="1"/>
    <col min="3" max="3" width="11.42578125" style="2" bestFit="1" customWidth="1"/>
    <col min="4" max="4" width="10.28515625" style="2" bestFit="1" customWidth="1"/>
    <col min="5" max="11" width="11" style="2" customWidth="1"/>
    <col min="12" max="12" width="11.7109375" style="2" customWidth="1"/>
    <col min="13" max="13" width="11" style="2" customWidth="1"/>
    <col min="14" max="14" width="10.140625" style="2" customWidth="1"/>
    <col min="15" max="15" width="11" style="2" customWidth="1"/>
    <col min="16" max="17" width="11" customWidth="1"/>
    <col min="18" max="18" width="9.140625" customWidth="1"/>
    <col min="19" max="19" width="6.140625" customWidth="1"/>
    <col min="20" max="20" width="11.7109375" bestFit="1" customWidth="1"/>
    <col min="21" max="21" width="9.85546875" bestFit="1" customWidth="1"/>
    <col min="22" max="22" width="6" bestFit="1" customWidth="1"/>
    <col min="23" max="23" width="10.140625" bestFit="1" customWidth="1"/>
    <col min="24" max="24" width="8.28515625" bestFit="1" customWidth="1"/>
    <col min="25" max="25" width="21.85546875" bestFit="1" customWidth="1"/>
    <col min="26" max="26" width="19.85546875" bestFit="1" customWidth="1"/>
    <col min="27" max="27" width="10.85546875" bestFit="1" customWidth="1"/>
  </cols>
  <sheetData>
    <row r="1" spans="1:14" x14ac:dyDescent="0.25">
      <c r="A1" s="9"/>
    </row>
    <row r="2" spans="1:14" ht="26.25" x14ac:dyDescent="0.25">
      <c r="B2" s="40" t="s">
        <v>10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x14ac:dyDescent="0.25">
      <c r="B3" s="43" t="s">
        <v>0</v>
      </c>
      <c r="C3" s="43" t="s">
        <v>11</v>
      </c>
      <c r="D3" s="43" t="s">
        <v>30</v>
      </c>
      <c r="E3" s="44" t="str">
        <f>"NOV/25"</f>
        <v>NOV/25</v>
      </c>
      <c r="F3" s="45"/>
      <c r="G3" s="45"/>
      <c r="H3" s="44" t="str">
        <f>"DEZ/25"</f>
        <v>DEZ/25</v>
      </c>
      <c r="I3" s="45"/>
      <c r="J3" s="45"/>
      <c r="K3" s="46" t="str">
        <f>"JAN/26"</f>
        <v>JAN/26</v>
      </c>
      <c r="L3" s="47"/>
      <c r="M3" s="48"/>
      <c r="N3" s="39" t="s">
        <v>16</v>
      </c>
    </row>
    <row r="4" spans="1:14" ht="15.75" x14ac:dyDescent="0.25">
      <c r="B4" s="43"/>
      <c r="C4" s="43"/>
      <c r="D4" s="43"/>
      <c r="E4" s="11" t="s">
        <v>14</v>
      </c>
      <c r="F4" s="11" t="s">
        <v>28</v>
      </c>
      <c r="G4" s="13" t="s">
        <v>30</v>
      </c>
      <c r="H4" s="11" t="s">
        <v>14</v>
      </c>
      <c r="I4" s="11" t="s">
        <v>28</v>
      </c>
      <c r="J4" s="13" t="s">
        <v>30</v>
      </c>
      <c r="K4" s="11" t="s">
        <v>14</v>
      </c>
      <c r="L4" s="11" t="s">
        <v>28</v>
      </c>
      <c r="M4" s="13" t="s">
        <v>30</v>
      </c>
      <c r="N4" s="39"/>
    </row>
    <row r="5" spans="1:14" x14ac:dyDescent="0.25">
      <c r="B5" s="8" t="s">
        <v>3</v>
      </c>
      <c r="C5" s="5">
        <v>5344</v>
      </c>
      <c r="D5" s="6">
        <f>C5/$C$12</f>
        <v>1.1837989668341353E-2</v>
      </c>
      <c r="E5" s="7">
        <v>187</v>
      </c>
      <c r="F5" s="5">
        <f>ROUNDUP(E5/24,0)</f>
        <v>8</v>
      </c>
      <c r="G5" s="6">
        <f>E5/$E$12</f>
        <v>1.5161342630128102E-2</v>
      </c>
      <c r="H5" s="7">
        <v>241</v>
      </c>
      <c r="I5" s="5">
        <f>ROUNDUP(H5/26,0)</f>
        <v>10</v>
      </c>
      <c r="J5" s="6">
        <f t="shared" ref="J5:J12" si="0">H5/$H$12</f>
        <v>1.9904195573174761E-2</v>
      </c>
      <c r="K5" s="7">
        <v>129</v>
      </c>
      <c r="L5" s="5">
        <f t="shared" ref="L5:L11" si="1">ROUNDUP(K5/25,0)</f>
        <v>6</v>
      </c>
      <c r="M5" s="6">
        <f>K5/$K$12</f>
        <v>1.0130359667033139E-2</v>
      </c>
      <c r="N5" s="6">
        <v>6.204483827254182E-4</v>
      </c>
    </row>
    <row r="6" spans="1:14" x14ac:dyDescent="0.25">
      <c r="B6" s="16" t="s">
        <v>4</v>
      </c>
      <c r="C6" s="17">
        <v>183689</v>
      </c>
      <c r="D6" s="18">
        <f t="shared" ref="D6:D12" si="2">C6/$C$12</f>
        <v>0.40690652772978192</v>
      </c>
      <c r="E6" s="19">
        <v>5653</v>
      </c>
      <c r="F6" s="17">
        <f t="shared" ref="F6:F11" si="3">ROUNDUP(E6/24,0)</f>
        <v>236</v>
      </c>
      <c r="G6" s="18">
        <f t="shared" ref="G6:G11" si="4">E6/$E$12</f>
        <v>0.45832657694178691</v>
      </c>
      <c r="H6" s="19">
        <v>5558</v>
      </c>
      <c r="I6" s="17">
        <f t="shared" ref="I6:I11" si="5">ROUNDUP(H6/26,0)</f>
        <v>214</v>
      </c>
      <c r="J6" s="18">
        <f t="shared" si="0"/>
        <v>0.45903534852989758</v>
      </c>
      <c r="K6" s="19">
        <v>5972</v>
      </c>
      <c r="L6" s="17">
        <f t="shared" si="1"/>
        <v>239</v>
      </c>
      <c r="M6" s="18">
        <f t="shared" ref="M6:M11" si="6">K6/$K$12</f>
        <v>0.46898068163970474</v>
      </c>
      <c r="N6" s="18">
        <v>0.65790949192166481</v>
      </c>
    </row>
    <row r="7" spans="1:14" x14ac:dyDescent="0.25">
      <c r="B7" s="8" t="s">
        <v>5</v>
      </c>
      <c r="C7" s="5">
        <v>69045</v>
      </c>
      <c r="D7" s="6">
        <f t="shared" si="2"/>
        <v>0.15294797841516256</v>
      </c>
      <c r="E7" s="7">
        <v>2005</v>
      </c>
      <c r="F7" s="5">
        <f t="shared" si="3"/>
        <v>84</v>
      </c>
      <c r="G7" s="6">
        <f t="shared" si="4"/>
        <v>0.16255878060645371</v>
      </c>
      <c r="H7" s="7">
        <v>1885</v>
      </c>
      <c r="I7" s="5">
        <f t="shared" si="5"/>
        <v>73</v>
      </c>
      <c r="J7" s="6">
        <f t="shared" si="0"/>
        <v>0.15568219359101421</v>
      </c>
      <c r="K7" s="7">
        <v>1965</v>
      </c>
      <c r="L7" s="5">
        <f t="shared" si="1"/>
        <v>79</v>
      </c>
      <c r="M7" s="6">
        <f t="shared" si="6"/>
        <v>0.15431129260248155</v>
      </c>
      <c r="N7" s="6">
        <v>8.4264208460366266E-2</v>
      </c>
    </row>
    <row r="8" spans="1:14" x14ac:dyDescent="0.25">
      <c r="B8" s="16" t="s">
        <v>6</v>
      </c>
      <c r="C8" s="17">
        <v>72969</v>
      </c>
      <c r="D8" s="18">
        <f t="shared" si="2"/>
        <v>0.16164039448151199</v>
      </c>
      <c r="E8" s="19">
        <v>1771</v>
      </c>
      <c r="F8" s="17">
        <f t="shared" si="3"/>
        <v>74</v>
      </c>
      <c r="G8" s="18">
        <f t="shared" si="4"/>
        <v>0.14358683314415438</v>
      </c>
      <c r="H8" s="19">
        <v>1708</v>
      </c>
      <c r="I8" s="17">
        <f t="shared" si="5"/>
        <v>66</v>
      </c>
      <c r="J8" s="18">
        <f t="shared" si="0"/>
        <v>0.14106375949785266</v>
      </c>
      <c r="K8" s="19">
        <v>1826</v>
      </c>
      <c r="L8" s="17">
        <f t="shared" si="1"/>
        <v>74</v>
      </c>
      <c r="M8" s="18">
        <f t="shared" si="6"/>
        <v>0.14339563373645359</v>
      </c>
      <c r="N8" s="18">
        <v>8.0687785256700909E-2</v>
      </c>
    </row>
    <row r="9" spans="1:14" x14ac:dyDescent="0.25">
      <c r="B9" s="8" t="s">
        <v>7</v>
      </c>
      <c r="C9" s="5">
        <v>109305</v>
      </c>
      <c r="D9" s="6">
        <f t="shared" si="2"/>
        <v>0.24213163560966533</v>
      </c>
      <c r="E9" s="7">
        <v>2521</v>
      </c>
      <c r="F9" s="5">
        <f t="shared" si="3"/>
        <v>106</v>
      </c>
      <c r="G9" s="6">
        <f t="shared" si="4"/>
        <v>0.20439435706178044</v>
      </c>
      <c r="H9" s="7">
        <v>2544</v>
      </c>
      <c r="I9" s="5">
        <f t="shared" si="5"/>
        <v>98</v>
      </c>
      <c r="J9" s="6">
        <f t="shared" si="0"/>
        <v>0.21010901883052527</v>
      </c>
      <c r="K9" s="7">
        <v>2635</v>
      </c>
      <c r="L9" s="5">
        <f t="shared" si="1"/>
        <v>106</v>
      </c>
      <c r="M9" s="6">
        <f t="shared" si="6"/>
        <v>0.20692633893513429</v>
      </c>
      <c r="N9" s="6">
        <v>0.17543440407614108</v>
      </c>
    </row>
    <row r="10" spans="1:14" x14ac:dyDescent="0.25">
      <c r="B10" s="16" t="s">
        <v>8</v>
      </c>
      <c r="C10" s="17">
        <v>614</v>
      </c>
      <c r="D10" s="18">
        <f t="shared" si="2"/>
        <v>1.3601283039598785E-3</v>
      </c>
      <c r="E10" s="19">
        <v>31</v>
      </c>
      <c r="F10" s="17">
        <f t="shared" si="3"/>
        <v>2</v>
      </c>
      <c r="G10" s="18">
        <f t="shared" si="4"/>
        <v>2.5133776552618775E-3</v>
      </c>
      <c r="H10" s="19">
        <v>25</v>
      </c>
      <c r="I10" s="17">
        <f t="shared" si="5"/>
        <v>1</v>
      </c>
      <c r="J10" s="18">
        <f t="shared" si="0"/>
        <v>2.064750578130162E-3</v>
      </c>
      <c r="K10" s="19">
        <v>28</v>
      </c>
      <c r="L10" s="17">
        <f t="shared" si="1"/>
        <v>2</v>
      </c>
      <c r="M10" s="18">
        <f t="shared" si="6"/>
        <v>2.1988377571854878E-3</v>
      </c>
      <c r="N10" s="18">
        <v>1.0750574407999363E-5</v>
      </c>
    </row>
    <row r="11" spans="1:14" x14ac:dyDescent="0.25">
      <c r="B11" s="8" t="s">
        <v>9</v>
      </c>
      <c r="C11" s="5">
        <v>10462</v>
      </c>
      <c r="D11" s="6">
        <f t="shared" si="2"/>
        <v>2.317534579157695E-2</v>
      </c>
      <c r="E11" s="7">
        <v>166</v>
      </c>
      <c r="F11" s="5">
        <f t="shared" si="3"/>
        <v>7</v>
      </c>
      <c r="G11" s="6">
        <f t="shared" si="4"/>
        <v>1.3458731960434572E-2</v>
      </c>
      <c r="H11" s="7">
        <v>147</v>
      </c>
      <c r="I11" s="5">
        <f t="shared" si="5"/>
        <v>6</v>
      </c>
      <c r="J11" s="6">
        <f t="shared" si="0"/>
        <v>1.2140733399405352E-2</v>
      </c>
      <c r="K11" s="7">
        <v>179</v>
      </c>
      <c r="L11" s="5">
        <f t="shared" si="1"/>
        <v>8</v>
      </c>
      <c r="M11" s="6">
        <f t="shared" si="6"/>
        <v>1.4056855662007225E-2</v>
      </c>
      <c r="N11" s="6">
        <v>1.0729113279934999E-3</v>
      </c>
    </row>
    <row r="12" spans="1:14" x14ac:dyDescent="0.25">
      <c r="B12" s="12" t="s">
        <v>12</v>
      </c>
      <c r="C12" s="13">
        <f>SUM(C5:C11)</f>
        <v>451428</v>
      </c>
      <c r="D12" s="14">
        <f t="shared" si="2"/>
        <v>1</v>
      </c>
      <c r="E12" s="13">
        <f>SUM(E5:E11)</f>
        <v>12334</v>
      </c>
      <c r="F12" s="15">
        <f>SUM(F5:F11)</f>
        <v>517</v>
      </c>
      <c r="G12" s="14">
        <f>E12/$E$12</f>
        <v>1</v>
      </c>
      <c r="H12" s="13">
        <f>SUM(H5:H11)</f>
        <v>12108</v>
      </c>
      <c r="I12" s="15">
        <f>SUM(I5:I11)</f>
        <v>468</v>
      </c>
      <c r="J12" s="14">
        <f t="shared" si="0"/>
        <v>1</v>
      </c>
      <c r="K12" s="13">
        <f>SUM(K5:K11)</f>
        <v>12734</v>
      </c>
      <c r="L12" s="15">
        <f>SUM(L5:L11)</f>
        <v>514</v>
      </c>
      <c r="M12" s="14">
        <f>K12/$K$12</f>
        <v>1</v>
      </c>
      <c r="N12" s="14">
        <v>0.99999999999999989</v>
      </c>
    </row>
    <row r="15" spans="1:14" ht="26.25" x14ac:dyDescent="0.25">
      <c r="B15" s="40" t="s">
        <v>19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14" x14ac:dyDescent="0.25">
      <c r="B16" s="43" t="s">
        <v>0</v>
      </c>
      <c r="C16" s="44" t="str">
        <f>"NOV/25"</f>
        <v>NOV/25</v>
      </c>
      <c r="D16" s="45"/>
      <c r="E16" s="45"/>
      <c r="F16" s="44" t="str">
        <f>"DEZ/25"</f>
        <v>DEZ/25</v>
      </c>
      <c r="G16" s="45"/>
      <c r="H16" s="45"/>
      <c r="I16" s="46" t="str">
        <f>"JAN/26"</f>
        <v>JAN/26</v>
      </c>
      <c r="J16" s="47"/>
      <c r="K16" s="48"/>
      <c r="L16" s="39" t="s">
        <v>16</v>
      </c>
    </row>
    <row r="17" spans="2:18" ht="15.75" x14ac:dyDescent="0.25">
      <c r="B17" s="43"/>
      <c r="C17" s="11" t="s">
        <v>20</v>
      </c>
      <c r="D17" s="11" t="s">
        <v>28</v>
      </c>
      <c r="E17" s="13" t="s">
        <v>30</v>
      </c>
      <c r="F17" s="11" t="s">
        <v>20</v>
      </c>
      <c r="G17" s="11" t="s">
        <v>28</v>
      </c>
      <c r="H17" s="13" t="s">
        <v>30</v>
      </c>
      <c r="I17" s="11" t="s">
        <v>20</v>
      </c>
      <c r="J17" s="11" t="s">
        <v>28</v>
      </c>
      <c r="K17" s="13" t="s">
        <v>30</v>
      </c>
      <c r="L17" s="39"/>
    </row>
    <row r="18" spans="2:18" x14ac:dyDescent="0.25">
      <c r="B18" s="8" t="s">
        <v>3</v>
      </c>
      <c r="C18" s="7">
        <v>15</v>
      </c>
      <c r="D18" s="5">
        <f>ROUNDUP(C18/24,0)</f>
        <v>1</v>
      </c>
      <c r="E18" s="6">
        <f>C18/$C$25</f>
        <v>4.6948356807511738E-3</v>
      </c>
      <c r="F18" s="7">
        <v>39</v>
      </c>
      <c r="G18" s="5">
        <f>ROUNDUP(F18/26,0)</f>
        <v>2</v>
      </c>
      <c r="H18" s="6">
        <f>F18/$F$25</f>
        <v>1.0427807486631016E-2</v>
      </c>
      <c r="I18" s="7">
        <v>18</v>
      </c>
      <c r="J18" s="5">
        <f t="shared" ref="J18:J24" si="7">ROUNDUP(I18/25,0)</f>
        <v>1</v>
      </c>
      <c r="K18" s="6">
        <f>I18/$I$25</f>
        <v>4.6059365404298872E-3</v>
      </c>
      <c r="L18" s="6">
        <v>6.6402287189892099E-3</v>
      </c>
    </row>
    <row r="19" spans="2:18" x14ac:dyDescent="0.25">
      <c r="B19" s="16" t="s">
        <v>4</v>
      </c>
      <c r="C19" s="19">
        <v>1377</v>
      </c>
      <c r="D19" s="17">
        <f t="shared" ref="D19:D24" si="8">ROUNDUP(C19/24,0)</f>
        <v>58</v>
      </c>
      <c r="E19" s="18">
        <f t="shared" ref="E19:E25" si="9">C19/$C$25</f>
        <v>0.43098591549295773</v>
      </c>
      <c r="F19" s="19">
        <v>1664</v>
      </c>
      <c r="G19" s="17">
        <f t="shared" ref="G19:G24" si="10">ROUNDUP(F19/26,0)</f>
        <v>64</v>
      </c>
      <c r="H19" s="18">
        <f t="shared" ref="H19:H25" si="11">F19/$F$25</f>
        <v>0.44491978609625671</v>
      </c>
      <c r="I19" s="19">
        <v>1702</v>
      </c>
      <c r="J19" s="17">
        <f t="shared" si="7"/>
        <v>69</v>
      </c>
      <c r="K19" s="18">
        <f t="shared" ref="K19:K25" si="12">I19/$I$25</f>
        <v>0.43551688843398156</v>
      </c>
      <c r="L19" s="18">
        <v>0.4374250668634142</v>
      </c>
    </row>
    <row r="20" spans="2:18" x14ac:dyDescent="0.25">
      <c r="B20" s="8" t="s">
        <v>5</v>
      </c>
      <c r="C20" s="7">
        <v>506</v>
      </c>
      <c r="D20" s="5">
        <f t="shared" si="8"/>
        <v>22</v>
      </c>
      <c r="E20" s="6">
        <f t="shared" si="9"/>
        <v>0.15837245696400626</v>
      </c>
      <c r="F20" s="7">
        <v>573</v>
      </c>
      <c r="G20" s="5">
        <f t="shared" si="10"/>
        <v>23</v>
      </c>
      <c r="H20" s="6">
        <f t="shared" si="11"/>
        <v>0.15320855614973261</v>
      </c>
      <c r="I20" s="7">
        <v>614</v>
      </c>
      <c r="J20" s="5">
        <f t="shared" si="7"/>
        <v>25</v>
      </c>
      <c r="K20" s="6">
        <f t="shared" si="12"/>
        <v>0.1571136131013306</v>
      </c>
      <c r="L20" s="6">
        <v>0.15613760029512128</v>
      </c>
    </row>
    <row r="21" spans="2:18" x14ac:dyDescent="0.25">
      <c r="B21" s="16" t="s">
        <v>6</v>
      </c>
      <c r="C21" s="19">
        <v>502</v>
      </c>
      <c r="D21" s="17">
        <f t="shared" si="8"/>
        <v>21</v>
      </c>
      <c r="E21" s="18">
        <f t="shared" si="9"/>
        <v>0.15712050078247261</v>
      </c>
      <c r="F21" s="19">
        <v>619</v>
      </c>
      <c r="G21" s="17">
        <f t="shared" si="10"/>
        <v>24</v>
      </c>
      <c r="H21" s="18">
        <f t="shared" si="11"/>
        <v>0.16550802139037432</v>
      </c>
      <c r="I21" s="19">
        <v>603</v>
      </c>
      <c r="J21" s="17">
        <f t="shared" si="7"/>
        <v>25</v>
      </c>
      <c r="K21" s="18">
        <f t="shared" si="12"/>
        <v>0.15429887410440124</v>
      </c>
      <c r="L21" s="18">
        <v>0.15899658766024163</v>
      </c>
    </row>
    <row r="22" spans="2:18" x14ac:dyDescent="0.25">
      <c r="B22" s="8" t="s">
        <v>7</v>
      </c>
      <c r="C22" s="7">
        <v>731</v>
      </c>
      <c r="D22" s="5">
        <f t="shared" si="8"/>
        <v>31</v>
      </c>
      <c r="E22" s="6">
        <f t="shared" si="9"/>
        <v>0.22879499217527385</v>
      </c>
      <c r="F22" s="7">
        <v>778</v>
      </c>
      <c r="G22" s="5">
        <f t="shared" si="10"/>
        <v>30</v>
      </c>
      <c r="H22" s="6">
        <f t="shared" si="11"/>
        <v>0.20802139037433154</v>
      </c>
      <c r="I22" s="7">
        <v>909</v>
      </c>
      <c r="J22" s="5">
        <f t="shared" si="7"/>
        <v>37</v>
      </c>
      <c r="K22" s="6">
        <f t="shared" si="12"/>
        <v>0.23259979529170932</v>
      </c>
      <c r="L22" s="6">
        <v>0.22300101447938761</v>
      </c>
    </row>
    <row r="23" spans="2:18" x14ac:dyDescent="0.25">
      <c r="B23" s="16" t="s">
        <v>8</v>
      </c>
      <c r="C23" s="19">
        <v>11</v>
      </c>
      <c r="D23" s="17">
        <f t="shared" si="8"/>
        <v>1</v>
      </c>
      <c r="E23" s="18">
        <f t="shared" si="9"/>
        <v>3.4428794992175274E-3</v>
      </c>
      <c r="F23" s="19">
        <v>6</v>
      </c>
      <c r="G23" s="17">
        <f t="shared" si="10"/>
        <v>1</v>
      </c>
      <c r="H23" s="18">
        <f t="shared" si="11"/>
        <v>1.6042780748663102E-3</v>
      </c>
      <c r="I23" s="19">
        <v>8</v>
      </c>
      <c r="J23" s="17">
        <f t="shared" si="7"/>
        <v>1</v>
      </c>
      <c r="K23" s="18">
        <f t="shared" si="12"/>
        <v>2.0470829068577278E-3</v>
      </c>
      <c r="L23" s="18">
        <v>2.3056349718712532E-3</v>
      </c>
    </row>
    <row r="24" spans="2:18" x14ac:dyDescent="0.25">
      <c r="B24" s="8" t="s">
        <v>9</v>
      </c>
      <c r="C24" s="7">
        <v>53</v>
      </c>
      <c r="D24" s="5">
        <f t="shared" si="8"/>
        <v>3</v>
      </c>
      <c r="E24" s="6">
        <f t="shared" si="9"/>
        <v>1.6588419405320815E-2</v>
      </c>
      <c r="F24" s="7">
        <v>61</v>
      </c>
      <c r="G24" s="5">
        <f t="shared" si="10"/>
        <v>3</v>
      </c>
      <c r="H24" s="6">
        <f t="shared" si="11"/>
        <v>1.6310160427807488E-2</v>
      </c>
      <c r="I24" s="7">
        <v>54</v>
      </c>
      <c r="J24" s="5">
        <f t="shared" si="7"/>
        <v>3</v>
      </c>
      <c r="K24" s="6">
        <f t="shared" si="12"/>
        <v>1.3817809621289662E-2</v>
      </c>
      <c r="L24" s="6">
        <v>1.5493867010974823E-2</v>
      </c>
    </row>
    <row r="25" spans="2:18" x14ac:dyDescent="0.25">
      <c r="B25" s="12" t="s">
        <v>12</v>
      </c>
      <c r="C25" s="13">
        <f>SUM(C18:C24)</f>
        <v>3195</v>
      </c>
      <c r="D25" s="15">
        <f>SUM(D18:D24)</f>
        <v>137</v>
      </c>
      <c r="E25" s="14">
        <f t="shared" si="9"/>
        <v>1</v>
      </c>
      <c r="F25" s="13">
        <f>SUM(F18:F24)</f>
        <v>3740</v>
      </c>
      <c r="G25" s="15">
        <f>SUM(G18:G24)</f>
        <v>147</v>
      </c>
      <c r="H25" s="14">
        <f t="shared" si="11"/>
        <v>1</v>
      </c>
      <c r="I25" s="13">
        <f>SUM(I18:I24)</f>
        <v>3908</v>
      </c>
      <c r="J25" s="15">
        <f>SUM(J18:J24)</f>
        <v>161</v>
      </c>
      <c r="K25" s="14">
        <f t="shared" si="12"/>
        <v>1</v>
      </c>
      <c r="L25" s="14">
        <v>1</v>
      </c>
    </row>
    <row r="28" spans="2:18" ht="26.25" x14ac:dyDescent="0.25">
      <c r="B28" s="38" t="s">
        <v>25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2:18" x14ac:dyDescent="0.25">
      <c r="B29" s="41" t="s">
        <v>0</v>
      </c>
      <c r="C29" s="42" t="str">
        <f>"NOV/25"</f>
        <v>NOV/25</v>
      </c>
      <c r="D29" s="42"/>
      <c r="E29" s="42"/>
      <c r="F29" s="42"/>
      <c r="G29" s="42"/>
      <c r="H29" s="42" t="str">
        <f>"DEZ/25"</f>
        <v>DEZ/25</v>
      </c>
      <c r="I29" s="42"/>
      <c r="J29" s="42"/>
      <c r="K29" s="42"/>
      <c r="L29" s="42"/>
      <c r="M29" s="42" t="str">
        <f>"JAN/26"</f>
        <v>JAN/26</v>
      </c>
      <c r="N29" s="42"/>
      <c r="O29" s="42"/>
      <c r="P29" s="42"/>
      <c r="Q29" s="42"/>
      <c r="R29" s="37" t="s">
        <v>16</v>
      </c>
    </row>
    <row r="30" spans="2:18" ht="30" x14ac:dyDescent="0.25">
      <c r="B30" s="41"/>
      <c r="C30" s="20" t="s">
        <v>21</v>
      </c>
      <c r="D30" s="20" t="s">
        <v>22</v>
      </c>
      <c r="E30" s="21" t="s">
        <v>23</v>
      </c>
      <c r="F30" s="21" t="s">
        <v>24</v>
      </c>
      <c r="G30" s="21" t="s">
        <v>16</v>
      </c>
      <c r="H30" s="20" t="s">
        <v>21</v>
      </c>
      <c r="I30" s="20" t="s">
        <v>22</v>
      </c>
      <c r="J30" s="21" t="s">
        <v>23</v>
      </c>
      <c r="K30" s="21" t="s">
        <v>24</v>
      </c>
      <c r="L30" s="21" t="s">
        <v>16</v>
      </c>
      <c r="M30" s="20" t="s">
        <v>21</v>
      </c>
      <c r="N30" s="20" t="s">
        <v>22</v>
      </c>
      <c r="O30" s="21" t="s">
        <v>23</v>
      </c>
      <c r="P30" s="21" t="s">
        <v>24</v>
      </c>
      <c r="Q30" s="21" t="s">
        <v>16</v>
      </c>
      <c r="R30" s="37"/>
    </row>
    <row r="31" spans="2:18" x14ac:dyDescent="0.25">
      <c r="B31" s="22" t="s">
        <v>3</v>
      </c>
      <c r="C31" s="3">
        <v>182</v>
      </c>
      <c r="D31" s="3">
        <v>327</v>
      </c>
      <c r="E31" s="3">
        <f t="shared" ref="E31:F37" si="13">ROUNDUP(C31/25,0)</f>
        <v>8</v>
      </c>
      <c r="F31" s="3">
        <f t="shared" si="13"/>
        <v>14</v>
      </c>
      <c r="G31" s="6">
        <f>D31/D$38</f>
        <v>1.1734730495944879E-2</v>
      </c>
      <c r="H31" s="4">
        <v>150</v>
      </c>
      <c r="I31" s="3">
        <v>245</v>
      </c>
      <c r="J31" s="3">
        <f t="shared" ref="J31:K37" si="14">ROUNDUP(H31/27,0)</f>
        <v>6</v>
      </c>
      <c r="K31" s="3">
        <f t="shared" si="14"/>
        <v>10</v>
      </c>
      <c r="L31" s="6">
        <f>I31/I$38</f>
        <v>8.940953215093788E-3</v>
      </c>
      <c r="M31" s="3">
        <v>176</v>
      </c>
      <c r="N31" s="3">
        <v>304</v>
      </c>
      <c r="O31" s="3">
        <f t="shared" ref="O31:P37" si="15">ROUNDUP(M31/26,0)</f>
        <v>7</v>
      </c>
      <c r="P31" s="3">
        <f t="shared" si="15"/>
        <v>12</v>
      </c>
      <c r="Q31" s="6">
        <f>N31/N$38</f>
        <v>1.0478061558611657E-2</v>
      </c>
      <c r="R31" s="6">
        <v>1.0393801687213013E-2</v>
      </c>
    </row>
    <row r="32" spans="2:18" x14ac:dyDescent="0.25">
      <c r="B32" s="23" t="s">
        <v>4</v>
      </c>
      <c r="C32" s="24">
        <v>5484</v>
      </c>
      <c r="D32" s="25">
        <v>8881</v>
      </c>
      <c r="E32" s="25">
        <f t="shared" si="13"/>
        <v>220</v>
      </c>
      <c r="F32" s="25">
        <f t="shared" si="13"/>
        <v>356</v>
      </c>
      <c r="G32" s="18">
        <f t="shared" ref="G32:G37" si="16">D32/D$38</f>
        <v>0.31870379674154886</v>
      </c>
      <c r="H32" s="25">
        <v>5585</v>
      </c>
      <c r="I32" s="24">
        <v>9726</v>
      </c>
      <c r="J32" s="25">
        <f t="shared" si="14"/>
        <v>207</v>
      </c>
      <c r="K32" s="25">
        <f t="shared" si="14"/>
        <v>361</v>
      </c>
      <c r="L32" s="18">
        <f t="shared" ref="L32:L37" si="17">I32/I$38</f>
        <v>0.35493759579592732</v>
      </c>
      <c r="M32" s="24">
        <v>5725</v>
      </c>
      <c r="N32" s="24">
        <v>9977</v>
      </c>
      <c r="O32" s="25">
        <f t="shared" si="15"/>
        <v>221</v>
      </c>
      <c r="P32" s="25">
        <f t="shared" si="15"/>
        <v>384</v>
      </c>
      <c r="Q32" s="18">
        <f t="shared" ref="Q32:Q37" si="18">N32/N$38</f>
        <v>0.34388032950746217</v>
      </c>
      <c r="R32" s="6">
        <v>0.33915117286221091</v>
      </c>
    </row>
    <row r="33" spans="2:18" x14ac:dyDescent="0.25">
      <c r="B33" s="22" t="s">
        <v>5</v>
      </c>
      <c r="C33" s="3">
        <v>2443</v>
      </c>
      <c r="D33" s="3">
        <v>4048</v>
      </c>
      <c r="E33" s="3">
        <f t="shared" si="13"/>
        <v>98</v>
      </c>
      <c r="F33" s="3">
        <f t="shared" si="13"/>
        <v>162</v>
      </c>
      <c r="G33" s="6">
        <f t="shared" si="16"/>
        <v>0.14526663317304242</v>
      </c>
      <c r="H33" s="4">
        <v>2141</v>
      </c>
      <c r="I33" s="3">
        <v>3179</v>
      </c>
      <c r="J33" s="3">
        <f t="shared" si="14"/>
        <v>80</v>
      </c>
      <c r="K33" s="3">
        <f t="shared" si="14"/>
        <v>118</v>
      </c>
      <c r="L33" s="6">
        <f t="shared" si="17"/>
        <v>0.11601342967666593</v>
      </c>
      <c r="M33" s="3">
        <v>2359</v>
      </c>
      <c r="N33" s="3">
        <v>3863</v>
      </c>
      <c r="O33" s="3">
        <f t="shared" si="15"/>
        <v>91</v>
      </c>
      <c r="P33" s="3">
        <f t="shared" si="15"/>
        <v>149</v>
      </c>
      <c r="Q33" s="6">
        <f t="shared" si="18"/>
        <v>0.13314720987143694</v>
      </c>
      <c r="R33" s="6">
        <v>0.13158363094884967</v>
      </c>
    </row>
    <row r="34" spans="2:18" x14ac:dyDescent="0.25">
      <c r="B34" s="23" t="s">
        <v>6</v>
      </c>
      <c r="C34" s="24">
        <v>3548</v>
      </c>
      <c r="D34" s="25">
        <v>5798</v>
      </c>
      <c r="E34" s="25">
        <f t="shared" si="13"/>
        <v>142</v>
      </c>
      <c r="F34" s="25">
        <f t="shared" si="13"/>
        <v>232</v>
      </c>
      <c r="G34" s="18">
        <f t="shared" si="16"/>
        <v>0.20806717864063734</v>
      </c>
      <c r="H34" s="25">
        <v>3306</v>
      </c>
      <c r="I34" s="24">
        <v>5832</v>
      </c>
      <c r="J34" s="25">
        <f t="shared" si="14"/>
        <v>123</v>
      </c>
      <c r="K34" s="25">
        <f t="shared" si="14"/>
        <v>216</v>
      </c>
      <c r="L34" s="18">
        <f t="shared" si="17"/>
        <v>0.21283118020582439</v>
      </c>
      <c r="M34" s="24">
        <v>3543</v>
      </c>
      <c r="N34" s="24">
        <v>6207</v>
      </c>
      <c r="O34" s="25">
        <f t="shared" si="15"/>
        <v>137</v>
      </c>
      <c r="P34" s="25">
        <f t="shared" si="15"/>
        <v>239</v>
      </c>
      <c r="Q34" s="18">
        <f t="shared" si="18"/>
        <v>0.2139385792575742</v>
      </c>
      <c r="R34" s="6">
        <v>0.21163726106714442</v>
      </c>
    </row>
    <row r="35" spans="2:18" x14ac:dyDescent="0.25">
      <c r="B35" s="22" t="s">
        <v>7</v>
      </c>
      <c r="C35" s="3">
        <v>4317</v>
      </c>
      <c r="D35" s="3">
        <v>8227</v>
      </c>
      <c r="E35" s="3">
        <f t="shared" si="13"/>
        <v>173</v>
      </c>
      <c r="F35" s="3">
        <f t="shared" si="13"/>
        <v>330</v>
      </c>
      <c r="G35" s="6">
        <f t="shared" si="16"/>
        <v>0.29523433574965907</v>
      </c>
      <c r="H35" s="4">
        <v>4383</v>
      </c>
      <c r="I35" s="3">
        <v>7913</v>
      </c>
      <c r="J35" s="3">
        <f t="shared" si="14"/>
        <v>163</v>
      </c>
      <c r="K35" s="3">
        <f t="shared" si="14"/>
        <v>294</v>
      </c>
      <c r="L35" s="6">
        <f t="shared" si="17"/>
        <v>0.28877454200423325</v>
      </c>
      <c r="M35" s="3">
        <v>4597</v>
      </c>
      <c r="N35" s="3">
        <v>8197</v>
      </c>
      <c r="O35" s="3">
        <f t="shared" si="15"/>
        <v>177</v>
      </c>
      <c r="P35" s="3">
        <f t="shared" si="15"/>
        <v>316</v>
      </c>
      <c r="Q35" s="6">
        <f t="shared" si="18"/>
        <v>0.28252852169717024</v>
      </c>
      <c r="R35" s="6">
        <v>0.2887602187918985</v>
      </c>
    </row>
    <row r="36" spans="2:18" x14ac:dyDescent="0.25">
      <c r="B36" s="23" t="s">
        <v>8</v>
      </c>
      <c r="C36" s="24">
        <v>14</v>
      </c>
      <c r="D36" s="25">
        <v>16</v>
      </c>
      <c r="E36" s="25">
        <f t="shared" si="13"/>
        <v>1</v>
      </c>
      <c r="F36" s="25">
        <f t="shared" si="13"/>
        <v>1</v>
      </c>
      <c r="G36" s="18">
        <f t="shared" si="16"/>
        <v>5.7417641570372494E-4</v>
      </c>
      <c r="H36" s="25">
        <v>8</v>
      </c>
      <c r="I36" s="24">
        <v>40</v>
      </c>
      <c r="J36" s="25">
        <f t="shared" si="14"/>
        <v>1</v>
      </c>
      <c r="K36" s="25">
        <f t="shared" si="14"/>
        <v>2</v>
      </c>
      <c r="L36" s="18">
        <f t="shared" si="17"/>
        <v>1.4597474636887818E-3</v>
      </c>
      <c r="M36" s="24">
        <v>13</v>
      </c>
      <c r="N36" s="24">
        <v>21</v>
      </c>
      <c r="O36" s="25">
        <f t="shared" si="15"/>
        <v>1</v>
      </c>
      <c r="P36" s="25">
        <f t="shared" si="15"/>
        <v>1</v>
      </c>
      <c r="Q36" s="18">
        <f t="shared" si="18"/>
        <v>7.2381346293041049E-4</v>
      </c>
      <c r="R36" s="6">
        <v>9.1361042227785627E-4</v>
      </c>
    </row>
    <row r="37" spans="2:18" x14ac:dyDescent="0.25">
      <c r="B37" s="22" t="s">
        <v>9</v>
      </c>
      <c r="C37" s="3">
        <v>281</v>
      </c>
      <c r="D37" s="3">
        <v>569</v>
      </c>
      <c r="E37" s="3">
        <f t="shared" si="13"/>
        <v>12</v>
      </c>
      <c r="F37" s="3">
        <f t="shared" si="13"/>
        <v>23</v>
      </c>
      <c r="G37" s="6">
        <f t="shared" si="16"/>
        <v>2.0419148783463719E-2</v>
      </c>
      <c r="H37" s="4">
        <v>288</v>
      </c>
      <c r="I37" s="3">
        <v>467</v>
      </c>
      <c r="J37" s="3">
        <f t="shared" si="14"/>
        <v>11</v>
      </c>
      <c r="K37" s="3">
        <f t="shared" si="14"/>
        <v>18</v>
      </c>
      <c r="L37" s="6">
        <f t="shared" si="17"/>
        <v>1.7042551638566529E-2</v>
      </c>
      <c r="M37" s="3">
        <v>282</v>
      </c>
      <c r="N37" s="3">
        <v>444</v>
      </c>
      <c r="O37" s="3">
        <f t="shared" si="15"/>
        <v>11</v>
      </c>
      <c r="P37" s="3">
        <f t="shared" si="15"/>
        <v>18</v>
      </c>
      <c r="Q37" s="6">
        <f t="shared" si="18"/>
        <v>1.5303484644814394E-2</v>
      </c>
      <c r="R37" s="6">
        <v>1.7560304220405547E-2</v>
      </c>
    </row>
    <row r="38" spans="2:18" x14ac:dyDescent="0.25">
      <c r="B38" s="26" t="s">
        <v>12</v>
      </c>
      <c r="C38" s="27">
        <f>SUM(C31:C37)</f>
        <v>16269</v>
      </c>
      <c r="D38" s="27">
        <f>SUM(D31:D37)</f>
        <v>27866</v>
      </c>
      <c r="E38" s="15">
        <f>SUM(E31:E37)</f>
        <v>654</v>
      </c>
      <c r="F38" s="15">
        <f>SUM(F31:F37)</f>
        <v>1118</v>
      </c>
      <c r="G38" s="14">
        <f>D38/D$38</f>
        <v>1</v>
      </c>
      <c r="H38" s="28">
        <f>SUM(H31:H37)</f>
        <v>15861</v>
      </c>
      <c r="I38" s="27">
        <f>SUM(I31:I37)</f>
        <v>27402</v>
      </c>
      <c r="J38" s="15">
        <f>SUM(J31:J37)</f>
        <v>591</v>
      </c>
      <c r="K38" s="15">
        <f>SUM(K31:K37)</f>
        <v>1019</v>
      </c>
      <c r="L38" s="14">
        <f>I38/I$38</f>
        <v>1</v>
      </c>
      <c r="M38" s="28">
        <f>SUM(M31:M37)</f>
        <v>16695</v>
      </c>
      <c r="N38" s="27">
        <f>SUM(N31:N37)</f>
        <v>29013</v>
      </c>
      <c r="O38" s="15">
        <f>SUM(O31:O37)</f>
        <v>645</v>
      </c>
      <c r="P38" s="15">
        <f>SUM(P31:P37)</f>
        <v>1119</v>
      </c>
      <c r="Q38" s="14">
        <f>N38/N$38</f>
        <v>1</v>
      </c>
      <c r="R38" s="14">
        <v>1</v>
      </c>
    </row>
  </sheetData>
  <mergeCells count="20">
    <mergeCell ref="N3:N4"/>
    <mergeCell ref="B2:N2"/>
    <mergeCell ref="C3:C4"/>
    <mergeCell ref="B3:B4"/>
    <mergeCell ref="E3:G3"/>
    <mergeCell ref="D3:D4"/>
    <mergeCell ref="H3:J3"/>
    <mergeCell ref="K3:M3"/>
    <mergeCell ref="R29:R30"/>
    <mergeCell ref="B28:R28"/>
    <mergeCell ref="L16:L17"/>
    <mergeCell ref="B15:L15"/>
    <mergeCell ref="B29:B30"/>
    <mergeCell ref="C29:G29"/>
    <mergeCell ref="H29:L29"/>
    <mergeCell ref="M29:Q29"/>
    <mergeCell ref="B16:B17"/>
    <mergeCell ref="C16:E16"/>
    <mergeCell ref="F16:H16"/>
    <mergeCell ref="I16:K16"/>
  </mergeCells>
  <conditionalFormatting sqref="D5:D11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{8C5109C1-7800-45E9-9778-0758E5FFEACA}</x14:id>
        </ext>
      </extLst>
    </cfRule>
  </conditionalFormatting>
  <conditionalFormatting sqref="E18:E2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{0D9E61F2-F7ED-4E9B-95E0-320A287B1000}</x14:id>
        </ext>
      </extLst>
    </cfRule>
  </conditionalFormatting>
  <conditionalFormatting sqref="G5:G1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{124CA02A-17CC-42CF-9BB0-5AEE8499CCA9}</x14:id>
        </ext>
      </extLst>
    </cfRule>
  </conditionalFormatting>
  <conditionalFormatting sqref="G31:G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{8CC1AE4A-0C3A-4706-A68F-B56522085BA4}</x14:id>
        </ext>
      </extLst>
    </cfRule>
  </conditionalFormatting>
  <conditionalFormatting sqref="H18:H2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{C1F6462C-6FC2-44E8-8BF4-BBD4A29FBF26}</x14:id>
        </ext>
      </extLst>
    </cfRule>
  </conditionalFormatting>
  <conditionalFormatting sqref="J5:J11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{23A25580-1F3C-4361-8D79-4CC8ED758CCF}</x14:id>
        </ext>
      </extLst>
    </cfRule>
  </conditionalFormatting>
  <conditionalFormatting sqref="K18:K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{DE040466-5984-4504-97DE-464B40127E4C}</x14:id>
        </ext>
      </extLst>
    </cfRule>
  </conditionalFormatting>
  <conditionalFormatting sqref="L18:L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{A877E607-3EA5-4BC3-BE2E-F0DABFF19F70}</x14:id>
        </ext>
      </extLst>
    </cfRule>
  </conditionalFormatting>
  <conditionalFormatting sqref="L31:L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{24462895-8D8A-4807-9C57-4A75B5A81CC3}</x14:id>
        </ext>
      </extLst>
    </cfRule>
  </conditionalFormatting>
  <conditionalFormatting sqref="M5:M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{8BC439E1-567C-4875-A5F4-C9D451436A17}</x14:id>
        </ext>
      </extLst>
    </cfRule>
  </conditionalFormatting>
  <conditionalFormatting sqref="N5:N11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{F5B77158-A613-4C75-B62C-DDFAA700BDB5}</x14:id>
        </ext>
      </extLst>
    </cfRule>
  </conditionalFormatting>
  <conditionalFormatting sqref="Q31: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{6F870642-C8DC-45EA-90EC-8E862F6CCC5B}</x14:id>
        </ext>
      </extLst>
    </cfRule>
  </conditionalFormatting>
  <conditionalFormatting sqref="R31:R3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{2E4CF77F-D7C5-4A7A-8517-0060B8873BCA}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5109C1-7800-45E9-9778-0758E5FFEA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D5:D11</xm:sqref>
        </x14:conditionalFormatting>
        <x14:conditionalFormatting xmlns:xm="http://schemas.microsoft.com/office/excel/2006/main">
          <x14:cfRule type="dataBar" id="{0D9E61F2-F7ED-4E9B-95E0-320A287B10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  <x14:conditionalFormatting xmlns:xm="http://schemas.microsoft.com/office/excel/2006/main">
          <x14:cfRule type="dataBar" id="{124CA02A-17CC-42CF-9BB0-5AEE8499C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G5:G11</xm:sqref>
        </x14:conditionalFormatting>
        <x14:conditionalFormatting xmlns:xm="http://schemas.microsoft.com/office/excel/2006/main">
          <x14:cfRule type="dataBar" id="{8CC1AE4A-0C3A-4706-A68F-B56522085B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G31:G37</xm:sqref>
        </x14:conditionalFormatting>
        <x14:conditionalFormatting xmlns:xm="http://schemas.microsoft.com/office/excel/2006/main">
          <x14:cfRule type="dataBar" id="{C1F6462C-6FC2-44E8-8BF4-BBD4A29FBF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H18:H24</xm:sqref>
        </x14:conditionalFormatting>
        <x14:conditionalFormatting xmlns:xm="http://schemas.microsoft.com/office/excel/2006/main">
          <x14:cfRule type="dataBar" id="{23A25580-1F3C-4361-8D79-4CC8ED758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J5:J11</xm:sqref>
        </x14:conditionalFormatting>
        <x14:conditionalFormatting xmlns:xm="http://schemas.microsoft.com/office/excel/2006/main">
          <x14:cfRule type="dataBar" id="{DE040466-5984-4504-97DE-464B40127E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K18:K24</xm:sqref>
        </x14:conditionalFormatting>
        <x14:conditionalFormatting xmlns:xm="http://schemas.microsoft.com/office/excel/2006/main">
          <x14:cfRule type="dataBar" id="{A877E607-3EA5-4BC3-BE2E-F0DABFF19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L18:L24</xm:sqref>
        </x14:conditionalFormatting>
        <x14:conditionalFormatting xmlns:xm="http://schemas.microsoft.com/office/excel/2006/main">
          <x14:cfRule type="dataBar" id="{24462895-8D8A-4807-9C57-4A75B5A81C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L31:L37</xm:sqref>
        </x14:conditionalFormatting>
        <x14:conditionalFormatting xmlns:xm="http://schemas.microsoft.com/office/excel/2006/main">
          <x14:cfRule type="dataBar" id="{8BC439E1-567C-4875-A5F4-C9D451436A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M5:M11</xm:sqref>
        </x14:conditionalFormatting>
        <x14:conditionalFormatting xmlns:xm="http://schemas.microsoft.com/office/excel/2006/main">
          <x14:cfRule type="dataBar" id="{F5B77158-A613-4C75-B62C-DDFAA700B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N5:N11</xm:sqref>
        </x14:conditionalFormatting>
        <x14:conditionalFormatting xmlns:xm="http://schemas.microsoft.com/office/excel/2006/main">
          <x14:cfRule type="dataBar" id="{6F870642-C8DC-45EA-90EC-8E862F6CCC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Q31:Q37</xm:sqref>
        </x14:conditionalFormatting>
        <x14:conditionalFormatting xmlns:xm="http://schemas.microsoft.com/office/excel/2006/main">
          <x14:cfRule type="dataBar" id="{2E4CF77F-D7C5-4A7A-8517-0060B8873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R31:R37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93FC-4847-46B3-96DF-1D9312513116}">
  <dimension ref="B3:R13"/>
  <sheetViews>
    <sheetView showGridLines="0" workbookViewId="0">
      <selection activeCell="G21" sqref="G21"/>
    </sheetView>
  </sheetViews>
  <sheetFormatPr defaultRowHeight="15" x14ac:dyDescent="0.25"/>
  <cols>
    <col min="2" max="2" width="18.85546875" bestFit="1" customWidth="1"/>
    <col min="3" max="3" width="5" bestFit="1" customWidth="1"/>
    <col min="4" max="4" width="10.42578125" bestFit="1" customWidth="1"/>
    <col min="5" max="5" width="11.140625" bestFit="1" customWidth="1"/>
    <col min="6" max="6" width="7.140625" bestFit="1" customWidth="1"/>
    <col min="7" max="7" width="5" bestFit="1" customWidth="1"/>
    <col min="8" max="8" width="10.42578125" bestFit="1" customWidth="1"/>
    <col min="9" max="9" width="11.140625" bestFit="1" customWidth="1"/>
    <col min="10" max="10" width="7.140625" bestFit="1" customWidth="1"/>
    <col min="11" max="11" width="5" bestFit="1" customWidth="1"/>
    <col min="12" max="12" width="10.42578125" bestFit="1" customWidth="1"/>
    <col min="13" max="13" width="11.140625" bestFit="1" customWidth="1"/>
    <col min="14" max="14" width="7.140625" bestFit="1" customWidth="1"/>
    <col min="15" max="15" width="9.5703125" customWidth="1"/>
  </cols>
  <sheetData>
    <row r="3" spans="2:18" ht="26.25" x14ac:dyDescent="0.25">
      <c r="B3" s="49" t="s">
        <v>33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</row>
    <row r="4" spans="2:18" ht="15" customHeight="1" x14ac:dyDescent="0.25">
      <c r="B4" s="43" t="s">
        <v>0</v>
      </c>
      <c r="C4" s="44" t="str">
        <f>"NOV/25"</f>
        <v>NOV/25</v>
      </c>
      <c r="D4" s="44"/>
      <c r="E4" s="44"/>
      <c r="F4" s="44"/>
      <c r="G4" s="44" t="str">
        <f>"DEZ/25"</f>
        <v>DEZ/25</v>
      </c>
      <c r="H4" s="44"/>
      <c r="I4" s="44"/>
      <c r="J4" s="44"/>
      <c r="K4" s="44" t="str">
        <f>"JAN/25"</f>
        <v>JAN/25</v>
      </c>
      <c r="L4" s="44"/>
      <c r="M4" s="44"/>
      <c r="N4" s="44"/>
      <c r="O4" s="73" t="s">
        <v>16</v>
      </c>
      <c r="P4" s="43" t="s">
        <v>32</v>
      </c>
      <c r="Q4" s="72" t="s">
        <v>38</v>
      </c>
    </row>
    <row r="5" spans="2:18" ht="15.75" customHeight="1" x14ac:dyDescent="0.25">
      <c r="B5" s="43"/>
      <c r="C5" s="11" t="s">
        <v>27</v>
      </c>
      <c r="D5" s="11" t="s">
        <v>28</v>
      </c>
      <c r="E5" s="11" t="s">
        <v>31</v>
      </c>
      <c r="F5" s="13" t="s">
        <v>30</v>
      </c>
      <c r="G5" s="11" t="s">
        <v>27</v>
      </c>
      <c r="H5" s="11" t="s">
        <v>28</v>
      </c>
      <c r="I5" s="11" t="s">
        <v>31</v>
      </c>
      <c r="J5" s="13" t="s">
        <v>30</v>
      </c>
      <c r="K5" s="11" t="s">
        <v>27</v>
      </c>
      <c r="L5" s="11" t="s">
        <v>28</v>
      </c>
      <c r="M5" s="11" t="s">
        <v>31</v>
      </c>
      <c r="N5" s="13" t="s">
        <v>30</v>
      </c>
      <c r="O5" s="74"/>
      <c r="P5" s="43"/>
      <c r="Q5" s="72"/>
    </row>
    <row r="6" spans="2:18" x14ac:dyDescent="0.25">
      <c r="B6" s="8" t="s">
        <v>3</v>
      </c>
      <c r="C6" s="5">
        <v>38</v>
      </c>
      <c r="D6" s="7">
        <f>ROUNDUP(C6/25,0)</f>
        <v>2</v>
      </c>
      <c r="E6" s="5">
        <v>5238</v>
      </c>
      <c r="F6" s="6">
        <f>C6/C$13</f>
        <v>1.3249651324965132E-2</v>
      </c>
      <c r="G6" s="5">
        <v>31</v>
      </c>
      <c r="H6" s="7">
        <v>4345</v>
      </c>
      <c r="I6" s="5">
        <v>4345</v>
      </c>
      <c r="J6" s="6">
        <f>G6/G$13</f>
        <v>1.0638297872340425E-2</v>
      </c>
      <c r="K6" s="5">
        <v>41</v>
      </c>
      <c r="L6" s="7">
        <v>1083</v>
      </c>
      <c r="M6" s="5">
        <v>1083</v>
      </c>
      <c r="N6" s="6">
        <f>K6/K$13</f>
        <v>1.29174543163201E-2</v>
      </c>
      <c r="O6" s="6">
        <v>1.2282268870031265E-2</v>
      </c>
      <c r="P6" s="5">
        <v>26</v>
      </c>
      <c r="Q6" s="6">
        <f>P6/$P$13</f>
        <v>2.3486901535682024E-2</v>
      </c>
      <c r="R6" s="75"/>
    </row>
    <row r="7" spans="2:18" x14ac:dyDescent="0.25">
      <c r="B7" s="16" t="s">
        <v>4</v>
      </c>
      <c r="C7" s="17">
        <v>701</v>
      </c>
      <c r="D7" s="19">
        <f t="shared" ref="D7:D12" si="0">ROUNDUP(C7/25,0)</f>
        <v>29</v>
      </c>
      <c r="E7" s="17">
        <v>22921</v>
      </c>
      <c r="F7" s="18">
        <f t="shared" ref="F7:F12" si="1">E7/E$13</f>
        <v>0.10355561579470497</v>
      </c>
      <c r="G7" s="17">
        <v>860</v>
      </c>
      <c r="H7" s="19">
        <v>42728</v>
      </c>
      <c r="I7" s="17">
        <v>42728</v>
      </c>
      <c r="J7" s="18">
        <f t="shared" ref="J7:J12" si="2">I7/I$13</f>
        <v>0.22788752826726971</v>
      </c>
      <c r="K7" s="17">
        <v>826</v>
      </c>
      <c r="L7" s="19">
        <v>26554</v>
      </c>
      <c r="M7" s="17">
        <v>26554</v>
      </c>
      <c r="N7" s="18">
        <f t="shared" ref="N7:N12" si="3">M7/M$13</f>
        <v>0.21332969134116361</v>
      </c>
      <c r="O7" s="6">
        <v>0.26652523447967841</v>
      </c>
      <c r="P7" s="17">
        <v>482</v>
      </c>
      <c r="Q7" s="18">
        <f t="shared" ref="Q7:Q12" si="4">P7/$P$13</f>
        <v>0.43541102077687444</v>
      </c>
      <c r="R7" s="75"/>
    </row>
    <row r="8" spans="2:18" x14ac:dyDescent="0.25">
      <c r="B8" s="8" t="s">
        <v>5</v>
      </c>
      <c r="C8" s="5">
        <v>410</v>
      </c>
      <c r="D8" s="7">
        <f t="shared" si="0"/>
        <v>17</v>
      </c>
      <c r="E8" s="5">
        <v>82293</v>
      </c>
      <c r="F8" s="6">
        <f t="shared" si="1"/>
        <v>0.37179452426131743</v>
      </c>
      <c r="G8" s="5">
        <v>314</v>
      </c>
      <c r="H8" s="7">
        <v>6706</v>
      </c>
      <c r="I8" s="5">
        <v>6706</v>
      </c>
      <c r="J8" s="6">
        <f t="shared" si="2"/>
        <v>3.5766096343388662E-2</v>
      </c>
      <c r="K8" s="5">
        <v>368</v>
      </c>
      <c r="L8" s="7">
        <v>13302</v>
      </c>
      <c r="M8" s="5">
        <v>13302</v>
      </c>
      <c r="N8" s="6">
        <f t="shared" si="3"/>
        <v>0.10686569082700001</v>
      </c>
      <c r="O8" s="6">
        <v>0.12192943278249219</v>
      </c>
      <c r="P8" s="5">
        <v>157</v>
      </c>
      <c r="Q8" s="6">
        <f t="shared" si="4"/>
        <v>0.14182475158084915</v>
      </c>
      <c r="R8" s="75"/>
    </row>
    <row r="9" spans="2:18" x14ac:dyDescent="0.25">
      <c r="B9" s="16" t="s">
        <v>6</v>
      </c>
      <c r="C9" s="17">
        <v>714</v>
      </c>
      <c r="D9" s="19">
        <f t="shared" si="0"/>
        <v>29</v>
      </c>
      <c r="E9" s="17">
        <v>54362</v>
      </c>
      <c r="F9" s="18">
        <f t="shared" si="1"/>
        <v>0.24560404807084124</v>
      </c>
      <c r="G9" s="17">
        <v>604</v>
      </c>
      <c r="H9" s="19">
        <v>79546</v>
      </c>
      <c r="I9" s="17">
        <v>79546</v>
      </c>
      <c r="J9" s="18">
        <f t="shared" si="2"/>
        <v>0.42425438409352734</v>
      </c>
      <c r="K9" s="17">
        <v>781</v>
      </c>
      <c r="L9" s="19">
        <v>20498</v>
      </c>
      <c r="M9" s="17">
        <v>20498</v>
      </c>
      <c r="N9" s="18">
        <f t="shared" si="3"/>
        <v>0.16467696065041695</v>
      </c>
      <c r="O9" s="6">
        <v>0.23436802143814203</v>
      </c>
      <c r="P9" s="17">
        <v>111</v>
      </c>
      <c r="Q9" s="18">
        <f t="shared" si="4"/>
        <v>0.1002710027100271</v>
      </c>
      <c r="R9" s="75"/>
    </row>
    <row r="10" spans="2:18" x14ac:dyDescent="0.25">
      <c r="B10" s="8" t="s">
        <v>7</v>
      </c>
      <c r="C10" s="5">
        <v>952</v>
      </c>
      <c r="D10" s="7">
        <f t="shared" si="0"/>
        <v>39</v>
      </c>
      <c r="E10" s="5">
        <v>53391</v>
      </c>
      <c r="F10" s="6">
        <f t="shared" si="1"/>
        <v>0.24121713201409595</v>
      </c>
      <c r="G10" s="5">
        <v>1091</v>
      </c>
      <c r="H10" s="7">
        <v>52474</v>
      </c>
      <c r="I10" s="5">
        <v>52474</v>
      </c>
      <c r="J10" s="6">
        <f t="shared" si="2"/>
        <v>0.27986730383581515</v>
      </c>
      <c r="K10" s="5">
        <v>1127</v>
      </c>
      <c r="L10" s="7">
        <v>62225</v>
      </c>
      <c r="M10" s="5">
        <v>62225</v>
      </c>
      <c r="N10" s="6">
        <f t="shared" si="3"/>
        <v>0.49990359432491926</v>
      </c>
      <c r="O10" s="6">
        <v>0.35395265743635551</v>
      </c>
      <c r="P10" s="5">
        <v>322</v>
      </c>
      <c r="Q10" s="6">
        <f t="shared" si="4"/>
        <v>0.2908762420957543</v>
      </c>
      <c r="R10" s="75"/>
    </row>
    <row r="11" spans="2:18" x14ac:dyDescent="0.25">
      <c r="B11" s="16" t="s">
        <v>8</v>
      </c>
      <c r="C11" s="17">
        <v>5</v>
      </c>
      <c r="D11" s="19">
        <f t="shared" si="0"/>
        <v>1</v>
      </c>
      <c r="E11" s="17">
        <v>44</v>
      </c>
      <c r="F11" s="18">
        <f t="shared" si="1"/>
        <v>1.9878919309659348E-4</v>
      </c>
      <c r="G11" s="17">
        <v>2</v>
      </c>
      <c r="H11" s="19">
        <v>10</v>
      </c>
      <c r="I11" s="17">
        <v>10</v>
      </c>
      <c r="J11" s="18">
        <f t="shared" si="2"/>
        <v>5.333447113538422E-5</v>
      </c>
      <c r="K11" s="17">
        <v>5</v>
      </c>
      <c r="L11" s="19">
        <v>586</v>
      </c>
      <c r="M11" s="17">
        <v>586</v>
      </c>
      <c r="N11" s="18">
        <f t="shared" si="3"/>
        <v>4.7078104664427913E-3</v>
      </c>
      <c r="O11" s="6">
        <v>1.3398838767306833E-3</v>
      </c>
      <c r="P11" s="17">
        <v>1</v>
      </c>
      <c r="Q11" s="18">
        <f t="shared" si="4"/>
        <v>9.0334236675700087E-4</v>
      </c>
      <c r="R11" s="75"/>
    </row>
    <row r="12" spans="2:18" x14ac:dyDescent="0.25">
      <c r="B12" s="8" t="s">
        <v>9</v>
      </c>
      <c r="C12" s="5">
        <v>48</v>
      </c>
      <c r="D12" s="7">
        <f t="shared" si="0"/>
        <v>2</v>
      </c>
      <c r="E12" s="5">
        <v>3091</v>
      </c>
      <c r="F12" s="6">
        <f t="shared" si="1"/>
        <v>1.3964940815035692E-2</v>
      </c>
      <c r="G12" s="5">
        <v>12</v>
      </c>
      <c r="H12" s="7">
        <v>1687</v>
      </c>
      <c r="I12" s="5">
        <v>1687</v>
      </c>
      <c r="J12" s="6">
        <f t="shared" si="2"/>
        <v>8.9975252805393185E-3</v>
      </c>
      <c r="K12" s="5">
        <v>26</v>
      </c>
      <c r="L12" s="7">
        <v>226</v>
      </c>
      <c r="M12" s="5">
        <v>226</v>
      </c>
      <c r="N12" s="6">
        <f t="shared" si="3"/>
        <v>1.8156402140205986E-3</v>
      </c>
      <c r="O12" s="6">
        <v>9.6025011165698972E-3</v>
      </c>
      <c r="P12" s="5">
        <v>8</v>
      </c>
      <c r="Q12" s="6">
        <f t="shared" si="4"/>
        <v>7.2267389340560069E-3</v>
      </c>
      <c r="R12" s="75"/>
    </row>
    <row r="13" spans="2:18" x14ac:dyDescent="0.25">
      <c r="B13" s="12" t="s">
        <v>26</v>
      </c>
      <c r="C13" s="15">
        <f>SUM(C6:C12)</f>
        <v>2868</v>
      </c>
      <c r="D13" s="15">
        <f>SUM(D6:D12)</f>
        <v>119</v>
      </c>
      <c r="E13" s="15">
        <f>SUM(E6:E12)</f>
        <v>221340</v>
      </c>
      <c r="F13" s="14">
        <v>1</v>
      </c>
      <c r="G13" s="15">
        <f>SUM(G6:G12)</f>
        <v>2914</v>
      </c>
      <c r="H13" s="15">
        <f>SUM(H6:H12)</f>
        <v>187496</v>
      </c>
      <c r="I13" s="15">
        <f>SUM(I6:I12)</f>
        <v>187496</v>
      </c>
      <c r="J13" s="14">
        <v>1</v>
      </c>
      <c r="K13" s="15">
        <f>SUM(K6:K12)</f>
        <v>3174</v>
      </c>
      <c r="L13" s="15">
        <f>SUM(L6:L12)</f>
        <v>124474</v>
      </c>
      <c r="M13" s="15">
        <f>SUM(M6:M12)</f>
        <v>124474</v>
      </c>
      <c r="N13" s="14">
        <v>1</v>
      </c>
      <c r="O13" s="14">
        <v>1</v>
      </c>
      <c r="P13" s="15">
        <f>SUM(P6:P12)</f>
        <v>1107</v>
      </c>
      <c r="Q13" s="14">
        <f>P13/$P$13</f>
        <v>1</v>
      </c>
      <c r="R13" s="75"/>
    </row>
  </sheetData>
  <mergeCells count="8">
    <mergeCell ref="C4:F4"/>
    <mergeCell ref="B4:B5"/>
    <mergeCell ref="G4:J4"/>
    <mergeCell ref="K4:N4"/>
    <mergeCell ref="B3:Q3"/>
    <mergeCell ref="Q4:Q5"/>
    <mergeCell ref="P4:P5"/>
    <mergeCell ref="O4:O5"/>
  </mergeCells>
  <conditionalFormatting sqref="F6:F1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{0C4D2779-6115-4C72-83CB-8CF28F0A4B4F}</x14:id>
        </ext>
      </extLst>
    </cfRule>
  </conditionalFormatting>
  <conditionalFormatting sqref="O6:O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{5D8EB434-4100-4FE7-9EF3-65F98E93C205}</x14:id>
        </ext>
      </extLst>
    </cfRule>
  </conditionalFormatting>
  <conditionalFormatting sqref="Q6:Q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{B5BF3F11-49B1-47A1-AC95-934FC89B33A0}</x14:id>
        </ext>
      </extLst>
    </cfRule>
  </conditionalFormatting>
  <conditionalFormatting sqref="J6:J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{5AE5C849-CAD6-4780-89B7-5A08CB4503EA}</x14:id>
        </ext>
      </extLst>
    </cfRule>
  </conditionalFormatting>
  <conditionalFormatting sqref="N6:N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{050135D4-A6A8-4CAA-B42A-2E0ADB02C847}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4D2779-6115-4C72-83CB-8CF28F0A4B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F6:F12</xm:sqref>
        </x14:conditionalFormatting>
        <x14:conditionalFormatting xmlns:xm="http://schemas.microsoft.com/office/excel/2006/main">
          <x14:cfRule type="dataBar" id="{5D8EB434-4100-4FE7-9EF3-65F98E93C2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O6:O12</xm:sqref>
        </x14:conditionalFormatting>
        <x14:conditionalFormatting xmlns:xm="http://schemas.microsoft.com/office/excel/2006/main">
          <x14:cfRule type="dataBar" id="{B5BF3F11-49B1-47A1-AC95-934FC89B33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Q6:Q12</xm:sqref>
        </x14:conditionalFormatting>
        <x14:conditionalFormatting xmlns:xm="http://schemas.microsoft.com/office/excel/2006/main">
          <x14:cfRule type="dataBar" id="{5AE5C849-CAD6-4780-89B7-5A08CB4503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J6:J12</xm:sqref>
        </x14:conditionalFormatting>
        <x14:conditionalFormatting xmlns:xm="http://schemas.microsoft.com/office/excel/2006/main">
          <x14:cfRule type="dataBar" id="{050135D4-A6A8-4CAA-B42A-2E0ADB02C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N6:N12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5DE-3B9F-4D31-A88F-5B772FD8E4E4}">
  <dimension ref="A1:O38"/>
  <sheetViews>
    <sheetView showGridLines="0" zoomScale="80" zoomScaleNormal="80" workbookViewId="0">
      <selection activeCell="R28" sqref="R28"/>
    </sheetView>
  </sheetViews>
  <sheetFormatPr defaultRowHeight="15" x14ac:dyDescent="0.25"/>
  <cols>
    <col min="1" max="1" width="10.42578125" bestFit="1" customWidth="1"/>
    <col min="2" max="2" width="17.5703125" bestFit="1" customWidth="1"/>
    <col min="3" max="3" width="11.42578125" style="2" bestFit="1" customWidth="1"/>
    <col min="4" max="4" width="10.28515625" style="2" bestFit="1" customWidth="1"/>
    <col min="5" max="11" width="11" style="2" customWidth="1"/>
    <col min="12" max="12" width="11.7109375" style="2" customWidth="1"/>
    <col min="13" max="13" width="11" style="2" customWidth="1"/>
    <col min="14" max="14" width="10.140625" style="2" customWidth="1"/>
    <col min="15" max="15" width="11" style="2" customWidth="1"/>
    <col min="16" max="17" width="11" customWidth="1"/>
    <col min="18" max="18" width="9.140625" customWidth="1"/>
    <col min="19" max="19" width="6.140625" customWidth="1"/>
    <col min="20" max="20" width="11.7109375" bestFit="1" customWidth="1"/>
    <col min="21" max="21" width="9.85546875" bestFit="1" customWidth="1"/>
    <col min="22" max="22" width="6" bestFit="1" customWidth="1"/>
    <col min="23" max="23" width="10.140625" bestFit="1" customWidth="1"/>
    <col min="24" max="24" width="8.28515625" bestFit="1" customWidth="1"/>
    <col min="25" max="25" width="21.85546875" bestFit="1" customWidth="1"/>
    <col min="26" max="26" width="19.85546875" bestFit="1" customWidth="1"/>
    <col min="27" max="27" width="10.85546875" bestFit="1" customWidth="1"/>
  </cols>
  <sheetData>
    <row r="1" spans="1:14" x14ac:dyDescent="0.25">
      <c r="A1" s="9"/>
    </row>
    <row r="2" spans="1:14" ht="26.25" x14ac:dyDescent="0.25">
      <c r="B2" s="52" t="s">
        <v>35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x14ac:dyDescent="0.25">
      <c r="B3" s="53" t="s">
        <v>0</v>
      </c>
      <c r="C3" s="53" t="s">
        <v>11</v>
      </c>
      <c r="D3" s="53" t="s">
        <v>30</v>
      </c>
      <c r="E3" s="54" t="str">
        <f>"NOV/25"</f>
        <v>NOV/25</v>
      </c>
      <c r="F3" s="55"/>
      <c r="G3" s="55"/>
      <c r="H3" s="54" t="str">
        <f>"DEZ/25"</f>
        <v>DEZ/25</v>
      </c>
      <c r="I3" s="55"/>
      <c r="J3" s="55"/>
      <c r="K3" s="56" t="str">
        <f>"JAN/26"</f>
        <v>JAN/26</v>
      </c>
      <c r="L3" s="57"/>
      <c r="M3" s="58"/>
      <c r="N3" s="59" t="s">
        <v>16</v>
      </c>
    </row>
    <row r="4" spans="1:14" ht="15.75" x14ac:dyDescent="0.25">
      <c r="B4" s="53"/>
      <c r="C4" s="53"/>
      <c r="D4" s="53"/>
      <c r="E4" s="60" t="s">
        <v>14</v>
      </c>
      <c r="F4" s="60" t="s">
        <v>28</v>
      </c>
      <c r="G4" s="61" t="s">
        <v>30</v>
      </c>
      <c r="H4" s="60" t="s">
        <v>14</v>
      </c>
      <c r="I4" s="60" t="s">
        <v>28</v>
      </c>
      <c r="J4" s="61" t="s">
        <v>30</v>
      </c>
      <c r="K4" s="60" t="s">
        <v>14</v>
      </c>
      <c r="L4" s="60" t="s">
        <v>28</v>
      </c>
      <c r="M4" s="61" t="s">
        <v>30</v>
      </c>
      <c r="N4" s="59"/>
    </row>
    <row r="5" spans="1:14" x14ac:dyDescent="0.25">
      <c r="B5" s="8" t="s">
        <v>3</v>
      </c>
      <c r="C5" s="5">
        <v>204</v>
      </c>
      <c r="D5" s="6">
        <f>C5/$C$12</f>
        <v>1.5438171636143484E-2</v>
      </c>
      <c r="E5" s="7">
        <v>3</v>
      </c>
      <c r="F5" s="5">
        <f>ROUNDUP(E5/24,0)</f>
        <v>1</v>
      </c>
      <c r="G5" s="6">
        <f>E5/$E$12</f>
        <v>1.3333333333333334E-2</v>
      </c>
      <c r="H5" s="7">
        <v>3</v>
      </c>
      <c r="I5" s="5">
        <f>ROUNDUP(H5/26,0)</f>
        <v>1</v>
      </c>
      <c r="J5" s="6">
        <f t="shared" ref="J5:J12" si="0">H5/$H$12</f>
        <v>1.0752688172043012E-2</v>
      </c>
      <c r="K5" s="7">
        <v>3</v>
      </c>
      <c r="L5" s="5">
        <f t="shared" ref="L5:L11" si="1">ROUNDUP(K5/25,0)</f>
        <v>1</v>
      </c>
      <c r="M5" s="6">
        <f>K5/$K$12</f>
        <v>1.3761467889908258E-2</v>
      </c>
      <c r="N5" s="6">
        <v>6.204483827254182E-4</v>
      </c>
    </row>
    <row r="6" spans="1:14" x14ac:dyDescent="0.25">
      <c r="B6" s="16" t="s">
        <v>4</v>
      </c>
      <c r="C6" s="17">
        <v>3869</v>
      </c>
      <c r="D6" s="18">
        <f t="shared" ref="D6:D12" si="2">C6/$C$12</f>
        <v>0.29279551990313302</v>
      </c>
      <c r="E6" s="19">
        <v>37</v>
      </c>
      <c r="F6" s="17">
        <f t="shared" ref="F6:F11" si="3">ROUNDUP(E6/24,0)</f>
        <v>2</v>
      </c>
      <c r="G6" s="18">
        <f t="shared" ref="G6:G11" si="4">E6/$E$12</f>
        <v>0.16444444444444445</v>
      </c>
      <c r="H6" s="19">
        <v>88</v>
      </c>
      <c r="I6" s="17">
        <f t="shared" ref="I6:I11" si="5">ROUNDUP(H6/26,0)</f>
        <v>4</v>
      </c>
      <c r="J6" s="18">
        <f t="shared" si="0"/>
        <v>0.31541218637992829</v>
      </c>
      <c r="K6" s="19">
        <v>33</v>
      </c>
      <c r="L6" s="17">
        <f t="shared" si="1"/>
        <v>2</v>
      </c>
      <c r="M6" s="18">
        <f t="shared" ref="M6:M11" si="6">K6/$K$12</f>
        <v>0.15137614678899083</v>
      </c>
      <c r="N6" s="18">
        <v>0.65790949192166481</v>
      </c>
    </row>
    <row r="7" spans="1:14" x14ac:dyDescent="0.25">
      <c r="B7" s="8" t="s">
        <v>5</v>
      </c>
      <c r="C7" s="5">
        <v>2131</v>
      </c>
      <c r="D7" s="6">
        <f t="shared" si="2"/>
        <v>0.16126835174814591</v>
      </c>
      <c r="E7" s="7">
        <v>53</v>
      </c>
      <c r="F7" s="5">
        <f t="shared" si="3"/>
        <v>3</v>
      </c>
      <c r="G7" s="6">
        <f t="shared" si="4"/>
        <v>0.23555555555555555</v>
      </c>
      <c r="H7" s="7">
        <v>35</v>
      </c>
      <c r="I7" s="5">
        <f t="shared" si="5"/>
        <v>2</v>
      </c>
      <c r="J7" s="6">
        <f t="shared" si="0"/>
        <v>0.12544802867383512</v>
      </c>
      <c r="K7" s="7">
        <v>50</v>
      </c>
      <c r="L7" s="5">
        <f t="shared" si="1"/>
        <v>2</v>
      </c>
      <c r="M7" s="6">
        <f t="shared" si="6"/>
        <v>0.22935779816513763</v>
      </c>
      <c r="N7" s="6">
        <v>8.4264208460366266E-2</v>
      </c>
    </row>
    <row r="8" spans="1:14" x14ac:dyDescent="0.25">
      <c r="B8" s="16" t="s">
        <v>6</v>
      </c>
      <c r="C8" s="17">
        <v>2777</v>
      </c>
      <c r="D8" s="18">
        <f t="shared" si="2"/>
        <v>0.21015589526260028</v>
      </c>
      <c r="E8" s="19">
        <v>52</v>
      </c>
      <c r="F8" s="17">
        <f t="shared" si="3"/>
        <v>3</v>
      </c>
      <c r="G8" s="18">
        <f t="shared" si="4"/>
        <v>0.2311111111111111</v>
      </c>
      <c r="H8" s="19">
        <v>49</v>
      </c>
      <c r="I8" s="17">
        <f t="shared" si="5"/>
        <v>2</v>
      </c>
      <c r="J8" s="18">
        <f t="shared" si="0"/>
        <v>0.17562724014336917</v>
      </c>
      <c r="K8" s="19">
        <v>82</v>
      </c>
      <c r="L8" s="17">
        <f t="shared" si="1"/>
        <v>4</v>
      </c>
      <c r="M8" s="18">
        <f t="shared" si="6"/>
        <v>0.37614678899082571</v>
      </c>
      <c r="N8" s="18">
        <v>8.0687785256700909E-2</v>
      </c>
    </row>
    <row r="9" spans="1:14" x14ac:dyDescent="0.25">
      <c r="B9" s="8" t="s">
        <v>7</v>
      </c>
      <c r="C9" s="5">
        <v>3659</v>
      </c>
      <c r="D9" s="6">
        <f t="shared" si="2"/>
        <v>0.27690328439533829</v>
      </c>
      <c r="E9" s="7">
        <v>56</v>
      </c>
      <c r="F9" s="5">
        <f t="shared" si="3"/>
        <v>3</v>
      </c>
      <c r="G9" s="6">
        <f t="shared" si="4"/>
        <v>0.24888888888888888</v>
      </c>
      <c r="H9" s="7">
        <v>54</v>
      </c>
      <c r="I9" s="5">
        <f t="shared" si="5"/>
        <v>3</v>
      </c>
      <c r="J9" s="6">
        <f t="shared" si="0"/>
        <v>0.19354838709677419</v>
      </c>
      <c r="K9" s="7">
        <v>40</v>
      </c>
      <c r="L9" s="5">
        <f t="shared" si="1"/>
        <v>2</v>
      </c>
      <c r="M9" s="6">
        <f t="shared" si="6"/>
        <v>0.1834862385321101</v>
      </c>
      <c r="N9" s="6">
        <v>0.17543440407614108</v>
      </c>
    </row>
    <row r="10" spans="1:14" x14ac:dyDescent="0.25">
      <c r="B10" s="16" t="s">
        <v>8</v>
      </c>
      <c r="C10" s="17">
        <v>201</v>
      </c>
      <c r="D10" s="18">
        <f t="shared" si="2"/>
        <v>1.5211139700317844E-2</v>
      </c>
      <c r="E10" s="19">
        <v>0</v>
      </c>
      <c r="F10" s="17">
        <f t="shared" si="3"/>
        <v>0</v>
      </c>
      <c r="G10" s="18">
        <f t="shared" si="4"/>
        <v>0</v>
      </c>
      <c r="H10" s="19">
        <v>33</v>
      </c>
      <c r="I10" s="17">
        <f t="shared" si="5"/>
        <v>2</v>
      </c>
      <c r="J10" s="18">
        <f t="shared" si="0"/>
        <v>0.11827956989247312</v>
      </c>
      <c r="K10" s="19">
        <v>0</v>
      </c>
      <c r="L10" s="17">
        <f t="shared" si="1"/>
        <v>0</v>
      </c>
      <c r="M10" s="18">
        <f t="shared" si="6"/>
        <v>0</v>
      </c>
      <c r="N10" s="18">
        <v>1.0750574407999363E-5</v>
      </c>
    </row>
    <row r="11" spans="1:14" x14ac:dyDescent="0.25">
      <c r="B11" s="8" t="s">
        <v>9</v>
      </c>
      <c r="C11" s="5">
        <v>373</v>
      </c>
      <c r="D11" s="6">
        <f t="shared" si="2"/>
        <v>2.8227637354321173E-2</v>
      </c>
      <c r="E11" s="7">
        <v>24</v>
      </c>
      <c r="F11" s="5">
        <f t="shared" si="3"/>
        <v>1</v>
      </c>
      <c r="G11" s="6">
        <f t="shared" si="4"/>
        <v>0.10666666666666667</v>
      </c>
      <c r="H11" s="7">
        <v>17</v>
      </c>
      <c r="I11" s="5">
        <f t="shared" si="5"/>
        <v>1</v>
      </c>
      <c r="J11" s="6">
        <f t="shared" si="0"/>
        <v>6.093189964157706E-2</v>
      </c>
      <c r="K11" s="7">
        <v>10</v>
      </c>
      <c r="L11" s="5">
        <f t="shared" si="1"/>
        <v>1</v>
      </c>
      <c r="M11" s="6">
        <f t="shared" si="6"/>
        <v>4.5871559633027525E-2</v>
      </c>
      <c r="N11" s="6">
        <v>1.0729113279934999E-3</v>
      </c>
    </row>
    <row r="12" spans="1:14" x14ac:dyDescent="0.25">
      <c r="B12" s="62" t="s">
        <v>12</v>
      </c>
      <c r="C12" s="61">
        <f>SUM(C5:C11)</f>
        <v>13214</v>
      </c>
      <c r="D12" s="63">
        <f t="shared" si="2"/>
        <v>1</v>
      </c>
      <c r="E12" s="61">
        <f>SUM(E5:E11)</f>
        <v>225</v>
      </c>
      <c r="F12" s="64">
        <f>SUM(F5:F11)</f>
        <v>13</v>
      </c>
      <c r="G12" s="63">
        <f>E12/$E$12</f>
        <v>1</v>
      </c>
      <c r="H12" s="61">
        <f>SUM(H5:H11)</f>
        <v>279</v>
      </c>
      <c r="I12" s="64">
        <f>SUM(I5:I11)</f>
        <v>15</v>
      </c>
      <c r="J12" s="63">
        <f t="shared" si="0"/>
        <v>1</v>
      </c>
      <c r="K12" s="61">
        <f>SUM(K5:K11)</f>
        <v>218</v>
      </c>
      <c r="L12" s="64">
        <f>SUM(L5:L11)</f>
        <v>12</v>
      </c>
      <c r="M12" s="63">
        <f>K12/$K$12</f>
        <v>1</v>
      </c>
      <c r="N12" s="63">
        <v>0.99999999999999989</v>
      </c>
    </row>
    <row r="15" spans="1:14" ht="26.25" x14ac:dyDescent="0.25">
      <c r="B15" s="52" t="s">
        <v>34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</row>
    <row r="16" spans="1:14" x14ac:dyDescent="0.25">
      <c r="B16" s="53" t="s">
        <v>0</v>
      </c>
      <c r="C16" s="54" t="str">
        <f>"NOV/25"</f>
        <v>NOV/25</v>
      </c>
      <c r="D16" s="55"/>
      <c r="E16" s="55"/>
      <c r="F16" s="54" t="str">
        <f>"DEZ/25"</f>
        <v>DEZ/25</v>
      </c>
      <c r="G16" s="55"/>
      <c r="H16" s="55"/>
      <c r="I16" s="56" t="str">
        <f>"JAN/26"</f>
        <v>JAN/26</v>
      </c>
      <c r="J16" s="57"/>
      <c r="K16" s="58"/>
      <c r="L16" s="59" t="s">
        <v>16</v>
      </c>
    </row>
    <row r="17" spans="2:15" ht="15.75" x14ac:dyDescent="0.25">
      <c r="B17" s="53"/>
      <c r="C17" s="60" t="s">
        <v>20</v>
      </c>
      <c r="D17" s="60" t="s">
        <v>28</v>
      </c>
      <c r="E17" s="61" t="s">
        <v>30</v>
      </c>
      <c r="F17" s="60" t="s">
        <v>20</v>
      </c>
      <c r="G17" s="60" t="s">
        <v>28</v>
      </c>
      <c r="H17" s="61" t="s">
        <v>30</v>
      </c>
      <c r="I17" s="60" t="s">
        <v>20</v>
      </c>
      <c r="J17" s="60" t="s">
        <v>28</v>
      </c>
      <c r="K17" s="61" t="s">
        <v>30</v>
      </c>
      <c r="L17" s="59"/>
    </row>
    <row r="18" spans="2:15" x14ac:dyDescent="0.25">
      <c r="B18" s="8" t="s">
        <v>3</v>
      </c>
      <c r="C18" s="7">
        <v>0</v>
      </c>
      <c r="D18" s="5">
        <f>ROUNDUP(C18/24,0)</f>
        <v>0</v>
      </c>
      <c r="E18" s="6">
        <f>C18/$C$25</f>
        <v>0</v>
      </c>
      <c r="F18" s="7">
        <v>0</v>
      </c>
      <c r="G18" s="5">
        <f>ROUNDUP(F18/26,0)</f>
        <v>0</v>
      </c>
      <c r="H18" s="6">
        <f>F18/$F$25</f>
        <v>0</v>
      </c>
      <c r="I18" s="7">
        <v>0</v>
      </c>
      <c r="J18" s="5">
        <f t="shared" ref="J18:J24" si="7">ROUNDUP(I18/25,0)</f>
        <v>0</v>
      </c>
      <c r="K18" s="6">
        <f>I18/$I$25</f>
        <v>0</v>
      </c>
      <c r="L18" s="6">
        <v>6.6402287189892099E-3</v>
      </c>
    </row>
    <row r="19" spans="2:15" x14ac:dyDescent="0.25">
      <c r="B19" s="16" t="s">
        <v>4</v>
      </c>
      <c r="C19" s="19">
        <v>9</v>
      </c>
      <c r="D19" s="17">
        <f t="shared" ref="D19:D24" si="8">ROUNDUP(C19/24,0)</f>
        <v>1</v>
      </c>
      <c r="E19" s="18">
        <f t="shared" ref="E19:E25" si="9">C19/$C$25</f>
        <v>0.23076923076923078</v>
      </c>
      <c r="F19" s="19">
        <v>8</v>
      </c>
      <c r="G19" s="17">
        <f t="shared" ref="G19:G24" si="10">ROUNDUP(F19/26,0)</f>
        <v>1</v>
      </c>
      <c r="H19" s="18">
        <f t="shared" ref="H19:H25" si="11">F19/$F$25</f>
        <v>0.21621621621621623</v>
      </c>
      <c r="I19" s="19">
        <v>10</v>
      </c>
      <c r="J19" s="17">
        <f t="shared" si="7"/>
        <v>1</v>
      </c>
      <c r="K19" s="18">
        <f t="shared" ref="K19:K25" si="12">I19/$I$25</f>
        <v>0.24390243902439024</v>
      </c>
      <c r="L19" s="18">
        <v>0.4374250668634142</v>
      </c>
    </row>
    <row r="20" spans="2:15" x14ac:dyDescent="0.25">
      <c r="B20" s="8" t="s">
        <v>5</v>
      </c>
      <c r="C20" s="7">
        <v>9</v>
      </c>
      <c r="D20" s="5">
        <f t="shared" si="8"/>
        <v>1</v>
      </c>
      <c r="E20" s="6">
        <f t="shared" si="9"/>
        <v>0.23076923076923078</v>
      </c>
      <c r="F20" s="7">
        <v>2</v>
      </c>
      <c r="G20" s="5">
        <f t="shared" si="10"/>
        <v>1</v>
      </c>
      <c r="H20" s="6">
        <f t="shared" si="11"/>
        <v>5.4054054054054057E-2</v>
      </c>
      <c r="I20" s="7">
        <v>3</v>
      </c>
      <c r="J20" s="5">
        <f t="shared" si="7"/>
        <v>1</v>
      </c>
      <c r="K20" s="6">
        <f t="shared" si="12"/>
        <v>7.3170731707317069E-2</v>
      </c>
      <c r="L20" s="6">
        <v>0.15613760029512128</v>
      </c>
    </row>
    <row r="21" spans="2:15" x14ac:dyDescent="0.25">
      <c r="B21" s="16" t="s">
        <v>6</v>
      </c>
      <c r="C21" s="19">
        <v>10</v>
      </c>
      <c r="D21" s="17">
        <f t="shared" si="8"/>
        <v>1</v>
      </c>
      <c r="E21" s="18">
        <f t="shared" si="9"/>
        <v>0.25641025641025639</v>
      </c>
      <c r="F21" s="19">
        <v>9</v>
      </c>
      <c r="G21" s="17">
        <f t="shared" si="10"/>
        <v>1</v>
      </c>
      <c r="H21" s="18">
        <f t="shared" si="11"/>
        <v>0.24324324324324326</v>
      </c>
      <c r="I21" s="19">
        <v>11</v>
      </c>
      <c r="J21" s="17">
        <f t="shared" si="7"/>
        <v>1</v>
      </c>
      <c r="K21" s="18">
        <f t="shared" si="12"/>
        <v>0.26829268292682928</v>
      </c>
      <c r="L21" s="18">
        <v>0.15899658766024163</v>
      </c>
    </row>
    <row r="22" spans="2:15" x14ac:dyDescent="0.25">
      <c r="B22" s="8" t="s">
        <v>7</v>
      </c>
      <c r="C22" s="7">
        <v>9</v>
      </c>
      <c r="D22" s="5">
        <f t="shared" si="8"/>
        <v>1</v>
      </c>
      <c r="E22" s="6">
        <f t="shared" si="9"/>
        <v>0.23076923076923078</v>
      </c>
      <c r="F22" s="7">
        <v>12</v>
      </c>
      <c r="G22" s="5">
        <f t="shared" si="10"/>
        <v>1</v>
      </c>
      <c r="H22" s="6">
        <f t="shared" si="11"/>
        <v>0.32432432432432434</v>
      </c>
      <c r="I22" s="7">
        <v>16</v>
      </c>
      <c r="J22" s="5">
        <f t="shared" si="7"/>
        <v>1</v>
      </c>
      <c r="K22" s="6">
        <f t="shared" si="12"/>
        <v>0.3902439024390244</v>
      </c>
      <c r="L22" s="6">
        <v>0.22300101447938761</v>
      </c>
    </row>
    <row r="23" spans="2:15" x14ac:dyDescent="0.25">
      <c r="B23" s="16" t="s">
        <v>8</v>
      </c>
      <c r="C23" s="19">
        <v>2</v>
      </c>
      <c r="D23" s="17">
        <v>0</v>
      </c>
      <c r="E23" s="18">
        <f t="shared" si="9"/>
        <v>5.128205128205128E-2</v>
      </c>
      <c r="F23" s="19">
        <v>1</v>
      </c>
      <c r="G23" s="17">
        <f t="shared" si="10"/>
        <v>1</v>
      </c>
      <c r="H23" s="18">
        <f t="shared" si="11"/>
        <v>2.7027027027027029E-2</v>
      </c>
      <c r="I23" s="19">
        <v>0</v>
      </c>
      <c r="J23" s="17">
        <f t="shared" si="7"/>
        <v>0</v>
      </c>
      <c r="K23" s="18">
        <f t="shared" si="12"/>
        <v>0</v>
      </c>
      <c r="L23" s="18">
        <v>2.3056349718712532E-3</v>
      </c>
    </row>
    <row r="24" spans="2:15" x14ac:dyDescent="0.25">
      <c r="B24" s="8" t="s">
        <v>9</v>
      </c>
      <c r="C24" s="7">
        <v>0</v>
      </c>
      <c r="D24" s="5">
        <v>1</v>
      </c>
      <c r="E24" s="6">
        <f t="shared" si="9"/>
        <v>0</v>
      </c>
      <c r="F24" s="7">
        <v>5</v>
      </c>
      <c r="G24" s="5">
        <f t="shared" si="10"/>
        <v>1</v>
      </c>
      <c r="H24" s="6">
        <f t="shared" si="11"/>
        <v>0.13513513513513514</v>
      </c>
      <c r="I24" s="7">
        <v>1</v>
      </c>
      <c r="J24" s="5">
        <f t="shared" si="7"/>
        <v>1</v>
      </c>
      <c r="K24" s="6">
        <f t="shared" si="12"/>
        <v>2.4390243902439025E-2</v>
      </c>
      <c r="L24" s="6">
        <v>1.5493867010974823E-2</v>
      </c>
    </row>
    <row r="25" spans="2:15" x14ac:dyDescent="0.25">
      <c r="B25" s="62" t="s">
        <v>12</v>
      </c>
      <c r="C25" s="61">
        <f>SUM(C18:C24)</f>
        <v>39</v>
      </c>
      <c r="D25" s="64">
        <f>SUM(D18:D24)</f>
        <v>5</v>
      </c>
      <c r="E25" s="63">
        <f t="shared" si="9"/>
        <v>1</v>
      </c>
      <c r="F25" s="61">
        <f>SUM(F18:F24)</f>
        <v>37</v>
      </c>
      <c r="G25" s="64">
        <f>SUM(G18:G24)</f>
        <v>6</v>
      </c>
      <c r="H25" s="63">
        <f t="shared" si="11"/>
        <v>1</v>
      </c>
      <c r="I25" s="61">
        <f>SUM(I18:I24)</f>
        <v>41</v>
      </c>
      <c r="J25" s="64">
        <f>SUM(J18:J24)</f>
        <v>5</v>
      </c>
      <c r="K25" s="63">
        <f t="shared" si="12"/>
        <v>1</v>
      </c>
      <c r="L25" s="63">
        <v>1</v>
      </c>
    </row>
    <row r="28" spans="2:15" ht="26.25" x14ac:dyDescent="0.25">
      <c r="B28" s="70" t="s">
        <v>36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/>
      <c r="N28"/>
      <c r="O28"/>
    </row>
    <row r="29" spans="2:15" x14ac:dyDescent="0.25">
      <c r="B29" s="65" t="s">
        <v>0</v>
      </c>
      <c r="C29" s="54" t="str">
        <f>"NOV/25"</f>
        <v>NOV/25</v>
      </c>
      <c r="D29" s="55"/>
      <c r="E29" s="55"/>
      <c r="F29" s="54" t="str">
        <f>"DEZ/25"</f>
        <v>DEZ/25</v>
      </c>
      <c r="G29" s="55"/>
      <c r="H29" s="55"/>
      <c r="I29" s="56" t="str">
        <f>"JAN/26"</f>
        <v>JAN/26</v>
      </c>
      <c r="J29" s="57"/>
      <c r="K29" s="58"/>
      <c r="L29" s="59" t="s">
        <v>16</v>
      </c>
      <c r="M29"/>
      <c r="N29"/>
      <c r="O29"/>
    </row>
    <row r="30" spans="2:15" ht="15.75" customHeight="1" x14ac:dyDescent="0.25">
      <c r="B30" s="65"/>
      <c r="C30" s="66" t="s">
        <v>37</v>
      </c>
      <c r="D30" s="67" t="s">
        <v>28</v>
      </c>
      <c r="E30" s="67" t="s">
        <v>30</v>
      </c>
      <c r="F30" s="66" t="s">
        <v>37</v>
      </c>
      <c r="G30" s="67" t="s">
        <v>28</v>
      </c>
      <c r="H30" s="67" t="s">
        <v>30</v>
      </c>
      <c r="I30" s="66" t="s">
        <v>37</v>
      </c>
      <c r="J30" s="67" t="s">
        <v>28</v>
      </c>
      <c r="K30" s="67" t="s">
        <v>30</v>
      </c>
      <c r="L30" s="59"/>
      <c r="M30"/>
      <c r="N30"/>
      <c r="O30"/>
    </row>
    <row r="31" spans="2:15" x14ac:dyDescent="0.25">
      <c r="B31" s="22" t="s">
        <v>3</v>
      </c>
      <c r="C31" s="3">
        <v>59</v>
      </c>
      <c r="D31" s="3">
        <f>ROUNDUP(C31/25,0)</f>
        <v>3</v>
      </c>
      <c r="E31" s="6">
        <f>C31/C$38</f>
        <v>1.6554433221099889E-2</v>
      </c>
      <c r="F31" s="3">
        <v>43</v>
      </c>
      <c r="G31" s="3">
        <f>ROUNDUP(F31/26,0)</f>
        <v>2</v>
      </c>
      <c r="H31" s="6">
        <f>F31/F$38</f>
        <v>1.4591109602986088E-2</v>
      </c>
      <c r="I31" s="3">
        <v>60</v>
      </c>
      <c r="J31" s="3">
        <f>ROUNDUP(I31/26,0)</f>
        <v>3</v>
      </c>
      <c r="K31" s="6">
        <f>I31/I$38</f>
        <v>1.9926934573231483E-2</v>
      </c>
      <c r="L31" s="6">
        <v>1.7013232514177693E-2</v>
      </c>
      <c r="M31"/>
      <c r="N31"/>
      <c r="O31"/>
    </row>
    <row r="32" spans="2:15" x14ac:dyDescent="0.25">
      <c r="B32" s="23" t="s">
        <v>4</v>
      </c>
      <c r="C32" s="24">
        <v>642</v>
      </c>
      <c r="D32" s="25">
        <f>ROUNDUP(C32/25,0)</f>
        <v>26</v>
      </c>
      <c r="E32" s="18">
        <f t="shared" ref="E32:E38" si="13">C32/C$38</f>
        <v>0.18013468013468015</v>
      </c>
      <c r="F32" s="24">
        <v>636</v>
      </c>
      <c r="G32" s="25">
        <f>ROUNDUP(F32/26,0)</f>
        <v>25</v>
      </c>
      <c r="H32" s="18">
        <f t="shared" ref="H32:H38" si="14">F32/F$38</f>
        <v>0.2158126908720733</v>
      </c>
      <c r="I32" s="24">
        <v>678</v>
      </c>
      <c r="J32" s="25">
        <f>ROUNDUP(I32/26,0)</f>
        <v>27</v>
      </c>
      <c r="K32" s="18">
        <f t="shared" ref="K32:K38" si="15">I32/I$38</f>
        <v>0.22517436067751578</v>
      </c>
      <c r="L32" s="6">
        <v>0.20541902961562697</v>
      </c>
      <c r="M32"/>
      <c r="N32"/>
      <c r="O32"/>
    </row>
    <row r="33" spans="2:15" x14ac:dyDescent="0.25">
      <c r="B33" s="22" t="s">
        <v>5</v>
      </c>
      <c r="C33" s="3">
        <v>679</v>
      </c>
      <c r="D33" s="3">
        <f>ROUNDUP(C33/25,0)</f>
        <v>28</v>
      </c>
      <c r="E33" s="6">
        <f t="shared" si="13"/>
        <v>0.19051627384960718</v>
      </c>
      <c r="F33" s="3">
        <v>433</v>
      </c>
      <c r="G33" s="3">
        <f>ROUNDUP(F33/26,0)</f>
        <v>17</v>
      </c>
      <c r="H33" s="6">
        <f t="shared" si="14"/>
        <v>0.14692908042076688</v>
      </c>
      <c r="I33" s="3">
        <v>408</v>
      </c>
      <c r="J33" s="3">
        <f>ROUNDUP(I33/26,0)</f>
        <v>16</v>
      </c>
      <c r="K33" s="6">
        <f t="shared" si="15"/>
        <v>0.13550315509797409</v>
      </c>
      <c r="L33" s="6">
        <v>0.1596303297626549</v>
      </c>
      <c r="M33"/>
      <c r="N33"/>
      <c r="O33"/>
    </row>
    <row r="34" spans="2:15" x14ac:dyDescent="0.25">
      <c r="B34" s="23" t="s">
        <v>6</v>
      </c>
      <c r="C34" s="24">
        <v>1001</v>
      </c>
      <c r="D34" s="25">
        <f>ROUNDUP(C34/25,0)</f>
        <v>41</v>
      </c>
      <c r="E34" s="18">
        <f t="shared" si="13"/>
        <v>0.28086419753086422</v>
      </c>
      <c r="F34" s="24">
        <v>759</v>
      </c>
      <c r="G34" s="25">
        <f>ROUNDUP(F34/26,0)</f>
        <v>30</v>
      </c>
      <c r="H34" s="18">
        <f t="shared" si="14"/>
        <v>0.25755005089921956</v>
      </c>
      <c r="I34" s="24">
        <v>703</v>
      </c>
      <c r="J34" s="25">
        <f>ROUNDUP(I34/26,0)</f>
        <v>28</v>
      </c>
      <c r="K34" s="18">
        <f t="shared" si="15"/>
        <v>0.23347725008302889</v>
      </c>
      <c r="L34" s="6">
        <v>0.25866414618777567</v>
      </c>
      <c r="M34"/>
      <c r="N34"/>
      <c r="O34"/>
    </row>
    <row r="35" spans="2:15" x14ac:dyDescent="0.25">
      <c r="B35" s="22" t="s">
        <v>7</v>
      </c>
      <c r="C35" s="3">
        <v>1150</v>
      </c>
      <c r="D35" s="3">
        <f>ROUNDUP(C35/25,0)</f>
        <v>46</v>
      </c>
      <c r="E35" s="6">
        <f t="shared" si="13"/>
        <v>0.32267115600448931</v>
      </c>
      <c r="F35" s="3">
        <v>1017</v>
      </c>
      <c r="G35" s="3">
        <f>ROUNDUP(F35/26,0)</f>
        <v>40</v>
      </c>
      <c r="H35" s="6">
        <f t="shared" si="14"/>
        <v>0.34509670851713609</v>
      </c>
      <c r="I35" s="3">
        <v>1113</v>
      </c>
      <c r="J35" s="3">
        <f>ROUNDUP(I35/26,0)</f>
        <v>43</v>
      </c>
      <c r="K35" s="6">
        <f t="shared" si="15"/>
        <v>0.36964463633344402</v>
      </c>
      <c r="L35" s="6">
        <v>0.34446544843520271</v>
      </c>
      <c r="M35"/>
      <c r="N35"/>
      <c r="O35"/>
    </row>
    <row r="36" spans="2:15" x14ac:dyDescent="0.25">
      <c r="B36" s="23" t="s">
        <v>8</v>
      </c>
      <c r="C36" s="24">
        <v>33</v>
      </c>
      <c r="D36" s="25">
        <f>ROUNDUP(C36/25,0)</f>
        <v>2</v>
      </c>
      <c r="E36" s="18">
        <f t="shared" si="13"/>
        <v>9.2592592592592587E-3</v>
      </c>
      <c r="F36" s="24">
        <v>59</v>
      </c>
      <c r="G36" s="25">
        <f>ROUNDUP(F36/26,0)</f>
        <v>3</v>
      </c>
      <c r="H36" s="18">
        <f t="shared" si="14"/>
        <v>2.002035968781812E-2</v>
      </c>
      <c r="I36" s="24">
        <v>46</v>
      </c>
      <c r="J36" s="25">
        <f>ROUNDUP(I36/26,0)</f>
        <v>2</v>
      </c>
      <c r="K36" s="18">
        <f t="shared" si="15"/>
        <v>1.5277316506144138E-2</v>
      </c>
      <c r="L36" s="6">
        <v>1.4492753623188406E-2</v>
      </c>
      <c r="M36"/>
      <c r="N36"/>
      <c r="O36"/>
    </row>
    <row r="37" spans="2:15" x14ac:dyDescent="0.25">
      <c r="B37" s="22" t="s">
        <v>9</v>
      </c>
      <c r="C37" s="3">
        <v>0</v>
      </c>
      <c r="D37" s="3">
        <f>ROUNDUP(C37/25,0)</f>
        <v>0</v>
      </c>
      <c r="E37" s="6">
        <f t="shared" si="13"/>
        <v>0</v>
      </c>
      <c r="F37" s="3">
        <v>0</v>
      </c>
      <c r="G37" s="3">
        <f>ROUNDUP(F37/26,0)</f>
        <v>0</v>
      </c>
      <c r="H37" s="6">
        <f t="shared" si="14"/>
        <v>0</v>
      </c>
      <c r="I37" s="3">
        <v>3</v>
      </c>
      <c r="J37" s="3">
        <f>ROUNDUP(I37/26,0)</f>
        <v>1</v>
      </c>
      <c r="K37" s="6">
        <f t="shared" si="15"/>
        <v>9.9634672866157417E-4</v>
      </c>
      <c r="L37" s="6">
        <v>3.15059861373661E-4</v>
      </c>
      <c r="M37"/>
      <c r="N37"/>
      <c r="O37"/>
    </row>
    <row r="38" spans="2:15" x14ac:dyDescent="0.25">
      <c r="B38" s="68" t="s">
        <v>12</v>
      </c>
      <c r="C38" s="69">
        <f>SUM(C31:C37)</f>
        <v>3564</v>
      </c>
      <c r="D38" s="64">
        <f>SUM(D31:D37)</f>
        <v>146</v>
      </c>
      <c r="E38" s="63">
        <f t="shared" si="13"/>
        <v>1</v>
      </c>
      <c r="F38" s="69">
        <f>SUM(F31:F37)</f>
        <v>2947</v>
      </c>
      <c r="G38" s="64">
        <f>SUM(G31:G37)</f>
        <v>117</v>
      </c>
      <c r="H38" s="63">
        <f t="shared" si="14"/>
        <v>1</v>
      </c>
      <c r="I38" s="69">
        <f>SUM(I31:I37)</f>
        <v>3011</v>
      </c>
      <c r="J38" s="64">
        <f>SUM(J31:J37)</f>
        <v>120</v>
      </c>
      <c r="K38" s="63">
        <f t="shared" si="15"/>
        <v>1</v>
      </c>
      <c r="L38" s="63">
        <v>1</v>
      </c>
      <c r="M38"/>
      <c r="N38"/>
      <c r="O38"/>
    </row>
  </sheetData>
  <mergeCells count="20">
    <mergeCell ref="B2:N2"/>
    <mergeCell ref="B3:B4"/>
    <mergeCell ref="C3:C4"/>
    <mergeCell ref="D3:D4"/>
    <mergeCell ref="E3:G3"/>
    <mergeCell ref="H3:J3"/>
    <mergeCell ref="K3:M3"/>
    <mergeCell ref="N3:N4"/>
    <mergeCell ref="B15:L15"/>
    <mergeCell ref="B16:B17"/>
    <mergeCell ref="C16:E16"/>
    <mergeCell ref="F16:H16"/>
    <mergeCell ref="I16:K16"/>
    <mergeCell ref="L16:L17"/>
    <mergeCell ref="B29:B30"/>
    <mergeCell ref="C29:E29"/>
    <mergeCell ref="F29:H29"/>
    <mergeCell ref="I29:K29"/>
    <mergeCell ref="L29:L30"/>
    <mergeCell ref="B28:L28"/>
  </mergeCells>
  <conditionalFormatting sqref="D5:D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{4EBCC51C-29A4-4605-A9A5-313AA0CEEBE0}</x14:id>
        </ext>
      </extLst>
    </cfRule>
  </conditionalFormatting>
  <conditionalFormatting sqref="E18:E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{B828096F-B5A5-40A5-B09A-8AB7BA4ACA41}</x14:id>
        </ext>
      </extLst>
    </cfRule>
  </conditionalFormatting>
  <conditionalFormatting sqref="G5:G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{C202E528-EF51-4D16-A8F5-BEDA51AC8415}</x14:id>
        </ext>
      </extLst>
    </cfRule>
  </conditionalFormatting>
  <conditionalFormatting sqref="H18:H2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{43B7EF2F-E31F-486F-9959-9B15615A5458}</x14:id>
        </ext>
      </extLst>
    </cfRule>
  </conditionalFormatting>
  <conditionalFormatting sqref="J5:J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{F99533C5-E875-40BD-8F91-E41525E536EB}</x14:id>
        </ext>
      </extLst>
    </cfRule>
  </conditionalFormatting>
  <conditionalFormatting sqref="K18:K2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{2751B8E6-5003-49F6-BAF9-E04315CF98A4}</x14:id>
        </ext>
      </extLst>
    </cfRule>
  </conditionalFormatting>
  <conditionalFormatting sqref="L18:L2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{03868B73-0DDF-4AA9-A4BE-F62504BC574C}</x14:id>
        </ext>
      </extLst>
    </cfRule>
  </conditionalFormatting>
  <conditionalFormatting sqref="M5:M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{20D36974-B413-4341-88C3-497EA68F0550}</x14:id>
        </ext>
      </extLst>
    </cfRule>
  </conditionalFormatting>
  <conditionalFormatting sqref="N5:N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{E17E6C21-65D5-44E8-B759-2940478CA06E}</x14:id>
        </ext>
      </extLst>
    </cfRule>
  </conditionalFormatting>
  <conditionalFormatting sqref="E31:E3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{37A33A48-EC61-4AE5-B010-CDBEEFCC3649}</x14:id>
        </ext>
      </extLst>
    </cfRule>
  </conditionalFormatting>
  <conditionalFormatting sqref="H31:H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{F703F380-19BE-4EA1-BD5B-EC36B4947510}</x14:id>
        </ext>
      </extLst>
    </cfRule>
  </conditionalFormatting>
  <conditionalFormatting sqref="K31:K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{15520059-2B2B-4DC0-9F9A-859BD650099F}</x14:id>
        </ext>
      </extLst>
    </cfRule>
  </conditionalFormatting>
  <conditionalFormatting sqref="L31:L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{D6754285-B670-4D37-B2C3-F151A0DE01A2}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BCC51C-29A4-4605-A9A5-313AA0CEE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D5:D11</xm:sqref>
        </x14:conditionalFormatting>
        <x14:conditionalFormatting xmlns:xm="http://schemas.microsoft.com/office/excel/2006/main">
          <x14:cfRule type="dataBar" id="{B828096F-B5A5-40A5-B09A-8AB7BA4AC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E18:E24</xm:sqref>
        </x14:conditionalFormatting>
        <x14:conditionalFormatting xmlns:xm="http://schemas.microsoft.com/office/excel/2006/main">
          <x14:cfRule type="dataBar" id="{C202E528-EF51-4D16-A8F5-BEDA51AC8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G5:G11</xm:sqref>
        </x14:conditionalFormatting>
        <x14:conditionalFormatting xmlns:xm="http://schemas.microsoft.com/office/excel/2006/main">
          <x14:cfRule type="dataBar" id="{43B7EF2F-E31F-486F-9959-9B15615A54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H18:H24</xm:sqref>
        </x14:conditionalFormatting>
        <x14:conditionalFormatting xmlns:xm="http://schemas.microsoft.com/office/excel/2006/main">
          <x14:cfRule type="dataBar" id="{F99533C5-E875-40BD-8F91-E41525E53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J5:J11</xm:sqref>
        </x14:conditionalFormatting>
        <x14:conditionalFormatting xmlns:xm="http://schemas.microsoft.com/office/excel/2006/main">
          <x14:cfRule type="dataBar" id="{2751B8E6-5003-49F6-BAF9-E04315CF9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K18:K24</xm:sqref>
        </x14:conditionalFormatting>
        <x14:conditionalFormatting xmlns:xm="http://schemas.microsoft.com/office/excel/2006/main">
          <x14:cfRule type="dataBar" id="{03868B73-0DDF-4AA9-A4BE-F62504BC57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L18:L24</xm:sqref>
        </x14:conditionalFormatting>
        <x14:conditionalFormatting xmlns:xm="http://schemas.microsoft.com/office/excel/2006/main">
          <x14:cfRule type="dataBar" id="{20D36974-B413-4341-88C3-497EA68F0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M5:M11</xm:sqref>
        </x14:conditionalFormatting>
        <x14:conditionalFormatting xmlns:xm="http://schemas.microsoft.com/office/excel/2006/main">
          <x14:cfRule type="dataBar" id="{E17E6C21-65D5-44E8-B759-2940478CA0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N5:N11</xm:sqref>
        </x14:conditionalFormatting>
        <x14:conditionalFormatting xmlns:xm="http://schemas.microsoft.com/office/excel/2006/main">
          <x14:cfRule type="dataBar" id="{37A33A48-EC61-4AE5-B010-CDBEEFCC3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E31:E37</xm:sqref>
        </x14:conditionalFormatting>
        <x14:conditionalFormatting xmlns:xm="http://schemas.microsoft.com/office/excel/2006/main">
          <x14:cfRule type="dataBar" id="{F703F380-19BE-4EA1-BD5B-EC36B4947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H31:H37</xm:sqref>
        </x14:conditionalFormatting>
        <x14:conditionalFormatting xmlns:xm="http://schemas.microsoft.com/office/excel/2006/main">
          <x14:cfRule type="dataBar" id="{15520059-2B2B-4DC0-9F9A-859BD65009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K31:K37</xm:sqref>
        </x14:conditionalFormatting>
        <x14:conditionalFormatting xmlns:xm="http://schemas.microsoft.com/office/excel/2006/main">
          <x14:cfRule type="dataBar" id="{D6754285-B670-4D37-B2C3-F151A0DE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L31:L37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374A-BAA6-462A-A8C8-BDA303C94049}">
  <dimension ref="B1:D4"/>
  <sheetViews>
    <sheetView workbookViewId="0">
      <selection activeCell="D5" sqref="D5"/>
    </sheetView>
  </sheetViews>
  <sheetFormatPr defaultRowHeight="15" x14ac:dyDescent="0.25"/>
  <sheetData>
    <row r="1" spans="2:4" x14ac:dyDescent="0.25">
      <c r="C1" s="2" t="s">
        <v>17</v>
      </c>
      <c r="D1" s="2" t="s">
        <v>18</v>
      </c>
    </row>
    <row r="2" spans="2:4" x14ac:dyDescent="0.25">
      <c r="B2" t="s">
        <v>29</v>
      </c>
      <c r="C2">
        <v>24</v>
      </c>
      <c r="D2">
        <v>25</v>
      </c>
    </row>
    <row r="3" spans="2:4" x14ac:dyDescent="0.25">
      <c r="B3" t="s">
        <v>13</v>
      </c>
      <c r="C3" s="10">
        <v>26</v>
      </c>
      <c r="D3" s="2">
        <v>27</v>
      </c>
    </row>
    <row r="4" spans="2:4" x14ac:dyDescent="0.25">
      <c r="B4" t="s">
        <v>15</v>
      </c>
      <c r="C4" s="2">
        <v>25</v>
      </c>
      <c r="D4" s="2">
        <v>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9427BE-5DBC-4B1A-A9BA-C500C92762D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</vt:lpstr>
      <vt:lpstr>BA_BD_B2C</vt:lpstr>
      <vt:lpstr>ARD e TA</vt:lpstr>
      <vt:lpstr>BA_BD_B2B</vt:lpstr>
      <vt:lpstr>DU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Jesus Farias</dc:creator>
  <cp:lastModifiedBy>Thiago Alves Nunes</cp:lastModifiedBy>
  <dcterms:created xsi:type="dcterms:W3CDTF">2026-02-09T11:45:15Z</dcterms:created>
  <dcterms:modified xsi:type="dcterms:W3CDTF">2026-02-09T19:10:24Z</dcterms:modified>
</cp:coreProperties>
</file>